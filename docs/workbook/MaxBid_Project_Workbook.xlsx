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8.xml.rels" ContentType="application/vnd.openxmlformats-package.relationships+xml"/>
  <Override PartName="/xl/worksheets/_rels/sheet16.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23.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7.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Cover" sheetId="1" state="visible" r:id="rId3"/>
    <sheet name="01 Summary" sheetId="2" state="visible" r:id="rId4"/>
    <sheet name="02 Decisions" sheetId="3" state="visible" r:id="rId5"/>
    <sheet name="03 Users" sheetId="4" state="visible" r:id="rId6"/>
    <sheet name="04 Competitors" sheetId="5" state="visible" r:id="rId7"/>
    <sheet name="05 Scope" sheetId="6" state="visible" r:id="rId8"/>
    <sheet name="06 User Journey" sheetId="7" state="visible" r:id="rId9"/>
    <sheet name="07 Features" sheetId="8" state="visible" r:id="rId10"/>
    <sheet name="08 Matching Logic" sheetId="9" state="visible" r:id="rId11"/>
    <sheet name="09 Cost Fields" sheetId="10" state="visible" r:id="rId12"/>
    <sheet name="10 Profit Calculator" sheetId="11" state="visible" r:id="rId13"/>
    <sheet name="11 Data Sources" sheetId="12" state="visible" r:id="rId14"/>
    <sheet name="12 Pipeline" sheetId="13" state="visible" r:id="rId15"/>
    <sheet name="13 Database" sheetId="14" state="visible" r:id="rId16"/>
    <sheet name="14 Security" sheetId="15" state="visible" r:id="rId17"/>
    <sheet name="15 Tech Stack" sheetId="16" state="visible" r:id="rId18"/>
    <sheet name="16 Screens" sheetId="17" state="visible" r:id="rId19"/>
    <sheet name="17 Design System" sheetId="18" state="visible" r:id="rId20"/>
    <sheet name="18 Commercial" sheetId="19" state="visible" r:id="rId21"/>
    <sheet name="19 Unit Economics" sheetId="20" state="visible" r:id="rId22"/>
    <sheet name="20 Legal" sheetId="21" state="visible" r:id="rId23"/>
    <sheet name="21 Naming" sheetId="22" state="visible" r:id="rId24"/>
    <sheet name="22 Risks" sheetId="23" state="visible" r:id="rId25"/>
    <sheet name="23 Roadmap" sheetId="24" state="visible" r:id="rId26"/>
    <sheet name="24 Metrics" sheetId="25" state="visible" r:id="rId27"/>
    <sheet name="25 Open Items" sheetId="26" state="visible" r:id="rId28"/>
    <sheet name="26 Config Principles" sheetId="27" state="visible" r:id="rId29"/>
    <sheet name="27 Settings Matrix" sheetId="28" state="visible" r:id="rId30"/>
    <sheet name="28 Override Rules" sheetId="29" state="visible" r:id="rId31"/>
    <sheet name="29 Transparency" sheetId="30" state="visible" r:id="rId32"/>
    <sheet name="30 Disclaimers" sheetId="31" state="visible" r:id="rId33"/>
    <sheet name="31 Governance" sheetId="32" state="visible" r:id="rId34"/>
    <sheet name="32 Brand" sheetId="33" state="visible" r:id="rId35"/>
    <sheet name="33 Visual Identity" sheetId="34" state="visible" r:id="rId36"/>
    <sheet name="34 Website SEO" sheetId="35" state="visible" r:id="rId37"/>
    <sheet name="35 Value Guides" sheetId="36" state="visible" r:id="rId38"/>
    <sheet name="36 AI Search" sheetId="37" state="visible" r:id="rId39"/>
    <sheet name="37 Marketing" sheetId="38" state="visible" r:id="rId40"/>
    <sheet name="38 UX Standards" sheetId="39" state="visible" r:id="rId41"/>
    <sheet name="39 Build Architecture" sheetId="40" state="visible" r:id="rId42"/>
  </sheets>
  <definedNames>
    <definedName function="false" hidden="true" localSheetId="2" name="_xlnm._FilterDatabase" vbProcedure="false">'02 Decisions'!$A$4:$F$119</definedName>
    <definedName function="false" hidden="true" localSheetId="3" name="_xlnm._FilterDatabase" vbProcedure="false">'03 Users'!$A$3:$G$8</definedName>
    <definedName function="false" hidden="true" localSheetId="4" name="_xlnm._FilterDatabase" vbProcedure="false">'04 Competitors'!$A$3:$D$8</definedName>
    <definedName function="false" hidden="true" localSheetId="5" name="_xlnm._FilterDatabase" vbProcedure="false">'05 Scope'!$A$3:$D$13</definedName>
    <definedName function="false" hidden="true" localSheetId="6" name="_xlnm._FilterDatabase" vbProcedure="false">'06 User Journey'!$A$3:$E$14</definedName>
    <definedName function="false" hidden="true" localSheetId="7" name="_xlnm._FilterDatabase" vbProcedure="false">'07 Features'!$A$3:$H$97</definedName>
    <definedName function="false" hidden="true" localSheetId="9" name="_xlnm._FilterDatabase" vbProcedure="false">'09 Cost Fields'!$A$3:$E$19</definedName>
    <definedName function="false" hidden="true" localSheetId="11" name="_xlnm._FilterDatabase" vbProcedure="false">'11 Data Sources'!$A$3:$G$16</definedName>
    <definedName function="false" hidden="true" localSheetId="12" name="_xlnm._FilterDatabase" vbProcedure="false">'12 Pipeline'!$A$3:$G$19</definedName>
    <definedName function="false" hidden="true" localSheetId="13" name="_xlnm._FilterDatabase" vbProcedure="false">'13 Database'!$A$3:$G$335</definedName>
    <definedName function="false" hidden="true" localSheetId="14" name="_xlnm._FilterDatabase" vbProcedure="false">'14 Security'!$A$3:$C$18</definedName>
    <definedName function="false" hidden="true" localSheetId="15" name="_xlnm._FilterDatabase" vbProcedure="false">'15 Tech Stack'!$A$3:$D$35</definedName>
    <definedName function="false" hidden="true" localSheetId="16" name="_xlnm._FilterDatabase" vbProcedure="false">'16 Screens'!$A$3:$E$21</definedName>
    <definedName function="false" hidden="true" localSheetId="20" name="_xlnm._FilterDatabase" vbProcedure="false">'20 Legal'!$A$3:$C$13</definedName>
    <definedName function="false" hidden="true" localSheetId="21" name="_xlnm._FilterDatabase" vbProcedure="false">'21 Naming'!$A$3:$D$11</definedName>
    <definedName function="false" hidden="true" localSheetId="22" name="_xlnm._FilterDatabase" vbProcedure="false">'22 Risks'!$A$3:$G$23</definedName>
    <definedName function="false" hidden="true" localSheetId="23" name="_xlnm._FilterDatabase" vbProcedure="false">'23 Roadmap'!$A$3:$E$16</definedName>
    <definedName function="false" hidden="true" localSheetId="24" name="_xlnm._FilterDatabase" vbProcedure="false">'24 Metrics'!$A$3:$C$21</definedName>
    <definedName function="false" hidden="true" localSheetId="25" name="_xlnm._FilterDatabase" vbProcedure="false">'25 Open Items'!$A$3:$E$19</definedName>
    <definedName function="false" hidden="true" localSheetId="27" name="_xlnm._FilterDatabase" vbProcedure="false">'27 Settings Matrix'!$A$3:$I$58</definedName>
    <definedName function="false" hidden="true" localSheetId="30" name="_xlnm._FilterDatabase" vbProcedure="false">'30 Disclaimers'!$A$3:$D$38</definedName>
    <definedName function="false" hidden="true" localSheetId="34" name="_xlnm._FilterDatabase" vbProcedure="false">'34 Website SEO'!$A$3:$E$24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<sst xmlns="http://schemas.openxmlformats.org/spreadsheetml/2006/main" count="6690" uniqueCount="4175">
  <si>
    <t xml:space="preserve">MaxBid</t>
  </si>
  <si>
    <t xml:space="preserve">Strategic Project Workbook  |  maxbid.com.au</t>
  </si>
  <si>
    <t xml:space="preserve">Prepared for</t>
  </si>
  <si>
    <t xml:space="preserve">Ashleigh Phillips and Jason</t>
  </si>
  <si>
    <t xml:space="preserve">Version</t>
  </si>
  <si>
    <t xml:space="preserve">0.1 Draft for review</t>
  </si>
  <si>
    <t xml:space="preserve">Date</t>
  </si>
  <si>
    <t xml:space="preserve">22 September 2026</t>
  </si>
  <si>
    <t xml:space="preserve">Status</t>
  </si>
  <si>
    <t xml:space="preserve">Design phase. Visual design signed off on 22 September 2026. No build work until the full workbook is signed off.</t>
  </si>
  <si>
    <t xml:space="preserve">Design prototypes</t>
  </si>
  <si>
    <t xml:space="preserve">https://claude.ai/artifact/T6x3BarxFAz2nA7G7DyMAp  The Chosen homepage and Main pages in this canvas are the signed off designs. Other pages in the canvas are explored options kept for reference.</t>
  </si>
  <si>
    <t xml:space="preserve">Purpose</t>
  </si>
  <si>
    <t xml:space="preserve">Single source of truth for what we are building: scope, features, valuation logic, data sources, database, tech stack, design, commercial model, risks and the build roadmap.</t>
  </si>
  <si>
    <t xml:space="preserve">How to use</t>
  </si>
  <si>
    <t xml:space="preserve">Each tab covers one topic. Tab 02 records every decision made, so any later change is made there first and flows into the other tabs. Tab 10 is a live calculator that proves the bid maths with formulas.</t>
  </si>
  <si>
    <t xml:space="preserve">Cell legend</t>
  </si>
  <si>
    <t xml:space="preserve">Blue text on yellow fill means an input you can change. Black text means a formula or fixed content. Values marked Estimate must be validated during the MVP.</t>
  </si>
  <si>
    <t xml:space="preserve">Contents</t>
  </si>
  <si>
    <t xml:space="preserve">01 Summary</t>
  </si>
  <si>
    <t xml:space="preserve">Vision, problem, solution, positioning and MVP goals</t>
  </si>
  <si>
    <t xml:space="preserve">02 Decisions</t>
  </si>
  <si>
    <t xml:space="preserve">Register of every decision made in the discovery session</t>
  </si>
  <si>
    <t xml:space="preserve">03 Users</t>
  </si>
  <si>
    <t xml:space="preserve">Target users and personas</t>
  </si>
  <si>
    <t xml:space="preserve">04 Competitors</t>
  </si>
  <si>
    <t xml:space="preserve">Existing tools and the gap we fill</t>
  </si>
  <si>
    <t xml:space="preserve">05 Scope</t>
  </si>
  <si>
    <t xml:space="preserve">What is in V1, what is deferred and what is excluded</t>
  </si>
  <si>
    <t xml:space="preserve">06 User Journey</t>
  </si>
  <si>
    <t xml:space="preserve">End to end workflow from catalogue link to recorded outcome</t>
  </si>
  <si>
    <t xml:space="preserve">07 Features</t>
  </si>
  <si>
    <t xml:space="preserve">Full feature register with priority, phase and acceptance criteria</t>
  </si>
  <si>
    <t xml:space="preserve">08 Matching Logic</t>
  </si>
  <si>
    <t xml:space="preserve">Match levels, evidence weighting, confidence scoring and resale scenarios</t>
  </si>
  <si>
    <t xml:space="preserve">09 Cost Fields</t>
  </si>
  <si>
    <t xml:space="preserve">Every cost line in the calculator, its source and GST treatment</t>
  </si>
  <si>
    <t xml:space="preserve">10 Profit Calculator</t>
  </si>
  <si>
    <t xml:space="preserve">Working model of the bid engine with live formulas and a sensitivity table</t>
  </si>
  <si>
    <t xml:space="preserve">11 Data Sources</t>
  </si>
  <si>
    <t xml:space="preserve">Where every data point comes from and how it is obtained</t>
  </si>
  <si>
    <t xml:space="preserve">12 Pipeline</t>
  </si>
  <si>
    <t xml:space="preserve">Processing stages, jobs, AI usage and outputs</t>
  </si>
  <si>
    <t xml:space="preserve">13 Database</t>
  </si>
  <si>
    <t xml:space="preserve">Full Supabase schema by table and column</t>
  </si>
  <si>
    <t xml:space="preserve">14 Security</t>
  </si>
  <si>
    <t xml:space="preserve">Row level security, roles and data protection</t>
  </si>
  <si>
    <t xml:space="preserve">15 Tech Stack</t>
  </si>
  <si>
    <t xml:space="preserve">Chosen tools by layer with alternatives</t>
  </si>
  <si>
    <t xml:space="preserve">16 Screens</t>
  </si>
  <si>
    <t xml:space="preserve">Screen inventory and key components</t>
  </si>
  <si>
    <t xml:space="preserve">17 Design System</t>
  </si>
  <si>
    <t xml:space="preserve">Style direction, colour tokens, type and components</t>
  </si>
  <si>
    <t xml:space="preserve">18 Commercial</t>
  </si>
  <si>
    <t xml:space="preserve">Pricing tiers, credits and free entry point</t>
  </si>
  <si>
    <t xml:space="preserve">19 Unit Economics</t>
  </si>
  <si>
    <t xml:space="preserve">Cost per catalogue and margin model with formulas</t>
  </si>
  <si>
    <t xml:space="preserve">20 Legal</t>
  </si>
  <si>
    <t xml:space="preserve">Positioning, disclaimers, privacy and data access rules</t>
  </si>
  <si>
    <t xml:space="preserve">21 Naming</t>
  </si>
  <si>
    <t xml:space="preserve">Name candidates for the brand</t>
  </si>
  <si>
    <t xml:space="preserve">22 Risks</t>
  </si>
  <si>
    <t xml:space="preserve">Risk register with rating and mitigation</t>
  </si>
  <si>
    <t xml:space="preserve">23 Roadmap</t>
  </si>
  <si>
    <t xml:space="preserve">Eight week MVP plan and later phases</t>
  </si>
  <si>
    <t xml:space="preserve">24 Metrics</t>
  </si>
  <si>
    <t xml:space="preserve">How we measure whether the MVP works</t>
  </si>
  <si>
    <t xml:space="preserve">25 Open Items</t>
  </si>
  <si>
    <t xml:space="preserve">Decisions still to make and actions to close them</t>
  </si>
  <si>
    <t xml:space="preserve">26 Config Principles</t>
  </si>
  <si>
    <t xml:space="preserve">How the platform behaves as a helper: what it controls, what users control and why</t>
  </si>
  <si>
    <t xml:space="preserve">27 Settings Matrix</t>
  </si>
  <si>
    <t xml:space="preserve">Every configurable item by layer, owner, lock rules and change mechanism</t>
  </si>
  <si>
    <t xml:space="preserve">28 Override Rules</t>
  </si>
  <si>
    <t xml:space="preserve">Override behaviour, precedence and the warning versus block rules</t>
  </si>
  <si>
    <t xml:space="preserve">29 Transparency</t>
  </si>
  <si>
    <t xml:space="preserve">Provenance tags, AI labelling, negative evidence, data age and unverifiable items</t>
  </si>
  <si>
    <t xml:space="preserve">30 Disclaimers</t>
  </si>
  <si>
    <t xml:space="preserve">Disclaimer library with placement, trigger and exact wording</t>
  </si>
  <si>
    <t xml:space="preserve">31 Governance</t>
  </si>
  <si>
    <t xml:space="preserve">Method versioning, correction review, problem reports and accuracy publishing</t>
  </si>
  <si>
    <t xml:space="preserve">32 Brand</t>
  </si>
  <si>
    <t xml:space="preserve">Positioning, personality, voice rules, taglines and logo direction</t>
  </si>
  <si>
    <t xml:space="preserve">33 Visual Identity</t>
  </si>
  <si>
    <t xml:space="preserve">Colour, type, edgy design expressions and CSS architecture</t>
  </si>
  <si>
    <t xml:space="preserve">34 Website SEO</t>
  </si>
  <si>
    <t xml:space="preserve">Public site map, page intents, schema and technical SEO requirements</t>
  </si>
  <si>
    <t xml:space="preserve">35 Value Guides</t>
  </si>
  <si>
    <t xml:space="preserve">Programmatic price guide pages: template, data rules and publish thresholds</t>
  </si>
  <si>
    <t xml:space="preserve">36 AI Search</t>
  </si>
  <si>
    <t xml:space="preserve">Crawler policy and how we become the source AI answers cite</t>
  </si>
  <si>
    <t xml:space="preserve">37 Marketing</t>
  </si>
  <si>
    <t xml:space="preserve">Channels, Auction Breakdown format, launch, referral and lifecycle email</t>
  </si>
  <si>
    <t xml:space="preserve">38 UX Standards</t>
  </si>
  <si>
    <t xml:space="preserve">Try before sign up, onboarding, states, microcopy, keyboard, accessibility and testing</t>
  </si>
  <si>
    <t xml:space="preserve">39 Build Architecture</t>
  </si>
  <si>
    <t xml:space="preserve">Monorepo, component library, file size rules, mobile first rules and performance budgets</t>
  </si>
  <si>
    <t xml:space="preserve">Executive Summary</t>
  </si>
  <si>
    <t xml:space="preserve">Name</t>
  </si>
  <si>
    <t xml:space="preserve">MaxBid at maxbid.com.au. App at app.maxbid.com.au.</t>
  </si>
  <si>
    <t xml:space="preserve">Vision</t>
  </si>
  <si>
    <t xml:space="preserve">A decision support platform that turns any supported Australian auction catalogue into a ranked list of buying opportunities, each with evidenced market values, full acquisition costs and a safe maximum bid.</t>
  </si>
  <si>
    <t xml:space="preserve">Problem</t>
  </si>
  <si>
    <t xml:space="preserve">Resellers buying at auction guess at resale value, forget costs such as buyer's premium, GST, transport and repairs, and bid on emotion in the final seconds. Researching every lot manually across eBay, retailers and past auction results takes hours per catalogue.</t>
  </si>
  <si>
    <t xml:space="preserve">Solution</t>
  </si>
  <si>
    <t xml:space="preserve">Paste a catalogue link or upload a PDF. The platform extracts every lot, runs a fast triage to rank opportunities, then performs deep analysis on the lots the user shortlists. Deep analysis identifies the item using text and photos, finds comparable sold and advertised prices, explains exactly what each comparable is and how it differs, and calculates target, absolute maximum and break even bids against the user's own costs and profit goal.</t>
  </si>
  <si>
    <t xml:space="preserve">Core principle</t>
  </si>
  <si>
    <t xml:space="preserve">Transparency over false precision. Every value shows its evidence, the match level, the differences and a confidence rating. The system never presents a weak estimate as a verified value.</t>
  </si>
  <si>
    <t xml:space="preserve">Primary user</t>
  </si>
  <si>
    <t xml:space="preserve">Resellers and flippers buying at auction for profit in Australia.</t>
  </si>
  <si>
    <t xml:space="preserve">Launch sources</t>
  </si>
  <si>
    <t xml:space="preserve">Grays, Pickles and Lloyds, plus PDF catalogue upload as a universal fallback.</t>
  </si>
  <si>
    <t xml:space="preserve">Category scope</t>
  </si>
  <si>
    <t xml:space="preserve">All auction categories, using a category agnostic matching engine with category specific valuation rules added progressively.</t>
  </si>
  <si>
    <t xml:space="preserve">Build approach</t>
  </si>
  <si>
    <t xml:space="preserve">Built in house by Ashleigh using Claude Code and Codex on Next.js, Supabase and Vercel. Used internally first, commercialised once proven.</t>
  </si>
  <si>
    <t xml:space="preserve">MVP goal</t>
  </si>
  <si>
    <t xml:space="preserve">Internal MVP in six to eight weeks that we use on real auctions, recording actual outcomes to measure valuation accuracy before any public launch.</t>
  </si>
  <si>
    <t xml:space="preserve">Commercial path</t>
  </si>
  <si>
    <t xml:space="preserve">Subscription tiers with included deep analysis credits and top up packs. Free triage as the entry point.</t>
  </si>
  <si>
    <t xml:space="preserve">Defensibility</t>
  </si>
  <si>
    <t xml:space="preserve">The long term moat is the accumulated database of identified products, comparables, user corrections and verified sold outcomes. Every analysis makes the next one more accurate.</t>
  </si>
  <si>
    <t xml:space="preserve">Decision Register</t>
  </si>
  <si>
    <t xml:space="preserve">Every decision from the discovery session. Change decisions here first.</t>
  </si>
  <si>
    <t xml:space="preserve">ID</t>
  </si>
  <si>
    <t xml:space="preserve">Area</t>
  </si>
  <si>
    <t xml:space="preserve">Question</t>
  </si>
  <si>
    <t xml:space="preserve">Decision</t>
  </si>
  <si>
    <t xml:space="preserve">Followed recommendation</t>
  </si>
  <si>
    <t xml:space="preserve">Rationale and implications</t>
  </si>
  <si>
    <t xml:space="preserve">D01</t>
  </si>
  <si>
    <t xml:space="preserve">Strategy</t>
  </si>
  <si>
    <t xml:space="preserve">Primary goal</t>
  </si>
  <si>
    <t xml:space="preserve">Build for us first, commercialise once proven</t>
  </si>
  <si>
    <t xml:space="preserve">Yes</t>
  </si>
  <si>
    <t xml:space="preserve">Proves accuracy on real money before selling it. Keeps early costs low.</t>
  </si>
  <si>
    <t xml:space="preserve">D02</t>
  </si>
  <si>
    <t xml:space="preserve">V1 market</t>
  </si>
  <si>
    <t xml:space="preserve">All auction categories</t>
  </si>
  <si>
    <t xml:space="preserve">No</t>
  </si>
  <si>
    <t xml:space="preserve">Broader appeal. Requires a category agnostic engine and progressive category rules. Accuracy will vary by category and must be shown honestly.</t>
  </si>
  <si>
    <t xml:space="preserve">D03</t>
  </si>
  <si>
    <t xml:space="preserve">Primary paying user</t>
  </si>
  <si>
    <t xml:space="preserve">Resellers and flippers buying for profit</t>
  </si>
  <si>
    <t xml:space="preserve">n/a</t>
  </si>
  <si>
    <t xml:space="preserve">Profit maths and bid limits are the core of the product.</t>
  </si>
  <si>
    <t xml:space="preserve">D04</t>
  </si>
  <si>
    <t xml:space="preserve">Input</t>
  </si>
  <si>
    <t xml:space="preserve">Auction sources in V1</t>
  </si>
  <si>
    <t xml:space="preserve">Grays, Pickles and Lloyds</t>
  </si>
  <si>
    <t xml:space="preserve">Three structured, high volume sources. Each needs its own extractor.</t>
  </si>
  <si>
    <t xml:space="preserve">D05</t>
  </si>
  <si>
    <t xml:space="preserve">Submission method</t>
  </si>
  <si>
    <t xml:space="preserve">URL plus PDF catalogue upload</t>
  </si>
  <si>
    <t xml:space="preserve">PDF upload covers any auctioneer not yet supported.</t>
  </si>
  <si>
    <t xml:space="preserve">D06</t>
  </si>
  <si>
    <t xml:space="preserve">Geographic scope</t>
  </si>
  <si>
    <t xml:space="preserve">Australia only</t>
  </si>
  <si>
    <t xml:space="preserve">Consistent currency, GST, freight and comparables.</t>
  </si>
  <si>
    <t xml:space="preserve">D07</t>
  </si>
  <si>
    <t xml:space="preserve">Data</t>
  </si>
  <si>
    <t xml:space="preserve">Comparable price gathering</t>
  </si>
  <si>
    <t xml:space="preserve">eBay API, web search API and retailer sites</t>
  </si>
  <si>
    <t xml:space="preserve">Uses official APIs where possible and limits scraping risk.</t>
  </si>
  <si>
    <t xml:space="preserve">D08</t>
  </si>
  <si>
    <t xml:space="preserve">Sold versus advertised weighting</t>
  </si>
  <si>
    <t xml:space="preserve">Sold prices weighted highest, advertised as support</t>
  </si>
  <si>
    <t xml:space="preserve">Sold prices are evidence of what buyers actually pay.</t>
  </si>
  <si>
    <t xml:space="preserve">D09</t>
  </si>
  <si>
    <t xml:space="preserve">Pricing freshness</t>
  </si>
  <si>
    <t xml:space="preserve">Live on each analysis, cached for seven days</t>
  </si>
  <si>
    <t xml:space="preserve">All comparables are also stored permanently for the evidence trail, which builds a historical database at no extra cost.</t>
  </si>
  <si>
    <t xml:space="preserve">D10</t>
  </si>
  <si>
    <t xml:space="preserve">Identification</t>
  </si>
  <si>
    <t xml:space="preserve">Lot identification method</t>
  </si>
  <si>
    <t xml:space="preserve">Text plus AI vision on lot photos</t>
  </si>
  <si>
    <t xml:space="preserve">Model numbers are often only visible on plates in photos.</t>
  </si>
  <si>
    <t xml:space="preserve">D11</t>
  </si>
  <si>
    <t xml:space="preserve">User correction</t>
  </si>
  <si>
    <t xml:space="preserve">Always let the user confirm or edit the identification</t>
  </si>
  <si>
    <t xml:space="preserve">Corrections become matching data that improves future results.</t>
  </si>
  <si>
    <t xml:space="preserve">D12</t>
  </si>
  <si>
    <t xml:space="preserve">Explanation depth</t>
  </si>
  <si>
    <t xml:space="preserve">Match level, plain English reason and differences</t>
  </si>
  <si>
    <t xml:space="preserve">Full comparison table available on expand.</t>
  </si>
  <si>
    <t xml:space="preserve">D13</t>
  </si>
  <si>
    <t xml:space="preserve">Processing</t>
  </si>
  <si>
    <t xml:space="preserve">Large catalogues</t>
  </si>
  <si>
    <t xml:space="preserve">Quick triage of all lots, deep analysis on shortlisted lots</t>
  </si>
  <si>
    <t xml:space="preserve">Controls cost and creates a natural pricing lever.</t>
  </si>
  <si>
    <t xml:space="preserve">D14</t>
  </si>
  <si>
    <t xml:space="preserve">Processing experience</t>
  </si>
  <si>
    <t xml:space="preserve">Background job, progress bar and email when done</t>
  </si>
  <si>
    <t xml:space="preserve">Users can leave and return.</t>
  </si>
  <si>
    <t xml:space="preserve">D15</t>
  </si>
  <si>
    <t xml:space="preserve">On identification correction</t>
  </si>
  <si>
    <t xml:space="preserve">Automatic instant revaluation</t>
  </si>
  <si>
    <t xml:space="preserve">Consumes a credit only if a new comparable search is required.</t>
  </si>
  <si>
    <t xml:space="preserve">D16</t>
  </si>
  <si>
    <t xml:space="preserve">Triage</t>
  </si>
  <si>
    <t xml:space="preserve">Shortlisting</t>
  </si>
  <si>
    <t xml:space="preserve">System ranks by opportunity, user ticks lots for deep analysis</t>
  </si>
  <si>
    <t xml:space="preserve">User stays in control of spend.</t>
  </si>
  <si>
    <t xml:space="preserve">D17</t>
  </si>
  <si>
    <t xml:space="preserve">Triage display</t>
  </si>
  <si>
    <t xml:space="preserve">Estimated resale range, rough max bid and opportunity score</t>
  </si>
  <si>
    <t xml:space="preserve">Enough to decide what is worth a deep look.</t>
  </si>
  <si>
    <t xml:space="preserve">D18</t>
  </si>
  <si>
    <t xml:space="preserve">Triage filters</t>
  </si>
  <si>
    <t xml:space="preserve">Category, value, location and closing time</t>
  </si>
  <si>
    <t xml:space="preserve">Saved filter presets deferred to a later phase.</t>
  </si>
  <si>
    <t xml:space="preserve">D19</t>
  </si>
  <si>
    <t xml:space="preserve">Calculator</t>
  </si>
  <si>
    <t xml:space="preserve">Profit target</t>
  </si>
  <si>
    <t xml:space="preserve">Dollars or percentage return on cost, chosen per lot</t>
  </si>
  <si>
    <t xml:space="preserve">Different lots suit different targets.</t>
  </si>
  <si>
    <t xml:space="preserve">D20</t>
  </si>
  <si>
    <t xml:space="preserve">Default resale scenario</t>
  </si>
  <si>
    <t xml:space="preserve">Conservative by default, switchable</t>
  </si>
  <si>
    <t xml:space="preserve">Protects the user from bidding on optimism.</t>
  </si>
  <si>
    <t xml:space="preserve">D21</t>
  </si>
  <si>
    <t xml:space="preserve">Bid limits shown</t>
  </si>
  <si>
    <t xml:space="preserve">Target bid, absolute maximum and break even</t>
  </si>
  <si>
    <t xml:space="preserve">Most I Would Pay defaults to the target bid.</t>
  </si>
  <si>
    <t xml:space="preserve">D22</t>
  </si>
  <si>
    <t xml:space="preserve">Costs</t>
  </si>
  <si>
    <t xml:space="preserve">Cost field display</t>
  </si>
  <si>
    <t xml:space="preserve">Collapsed summary, expand to edit line items</t>
  </si>
  <si>
    <t xml:space="preserve">Keeps the lot table readable.</t>
  </si>
  <si>
    <t xml:space="preserve">D23</t>
  </si>
  <si>
    <t xml:space="preserve">GST handling</t>
  </si>
  <si>
    <t xml:space="preserve">GST registered setting on the user profile, then automatic calculation</t>
  </si>
  <si>
    <t xml:space="preserve">Shows cash required and effective cost after credits.</t>
  </si>
  <si>
    <t xml:space="preserve">D24</t>
  </si>
  <si>
    <t xml:space="preserve">Selling fees</t>
  </si>
  <si>
    <t xml:space="preserve">No automatic channel fees. User adds manually</t>
  </si>
  <si>
    <t xml:space="preserve">A visible flag warns when selling fees are blank so the max bid is not silently inflated.</t>
  </si>
  <si>
    <t xml:space="preserve">D25</t>
  </si>
  <si>
    <t xml:space="preserve">Buyer's premium</t>
  </si>
  <si>
    <t xml:space="preserve">Extracted from each auction's terms, platform default fallback, editable</t>
  </si>
  <si>
    <t xml:space="preserve">Rates vary by auction and category.</t>
  </si>
  <si>
    <t xml:space="preserve">D26</t>
  </si>
  <si>
    <t xml:space="preserve">Default assumptions</t>
  </si>
  <si>
    <t xml:space="preserve">Multiple saved cost profiles</t>
  </si>
  <si>
    <t xml:space="preserve">For example Machinery, Small tools, Vehicles.</t>
  </si>
  <si>
    <t xml:space="preserve">D27</t>
  </si>
  <si>
    <t xml:space="preserve">Transport</t>
  </si>
  <si>
    <t xml:space="preserve">Distance estimate from user base to lot location, editable</t>
  </si>
  <si>
    <t xml:space="preserve">Uses a routing API and a rate per km by size class from the cost profile.</t>
  </si>
  <si>
    <t xml:space="preserve">D28</t>
  </si>
  <si>
    <t xml:space="preserve">After analysis</t>
  </si>
  <si>
    <t xml:space="preserve">Outcome tracking</t>
  </si>
  <si>
    <t xml:space="preserve">Won or lost, final price and actual resale</t>
  </si>
  <si>
    <t xml:space="preserve">Provides verified sold data and measures our accuracy.</t>
  </si>
  <si>
    <t xml:space="preserve">D29</t>
  </si>
  <si>
    <t xml:space="preserve">Alerts in V1</t>
  </si>
  <si>
    <t xml:space="preserve">Closing soon alerts for watchlisted lots</t>
  </si>
  <si>
    <t xml:space="preserve">Saved search alerts deferred.</t>
  </si>
  <si>
    <t xml:space="preserve">D30</t>
  </si>
  <si>
    <t xml:space="preserve">Exports</t>
  </si>
  <si>
    <t xml:space="preserve">PDF bid sheet and CSV</t>
  </si>
  <si>
    <t xml:space="preserve">Bid sheet designed to be used on a phone at the auction.</t>
  </si>
  <si>
    <t xml:space="preserve">D31</t>
  </si>
  <si>
    <t xml:space="preserve">Tech</t>
  </si>
  <si>
    <t xml:space="preserve">Core stack</t>
  </si>
  <si>
    <t xml:space="preserve">Next.js, Supabase and Vercel</t>
  </si>
  <si>
    <t xml:space="preserve">Matches existing skills and the HSES Online stack.</t>
  </si>
  <si>
    <t xml:space="preserve">D32</t>
  </si>
  <si>
    <t xml:space="preserve">Background jobs</t>
  </si>
  <si>
    <t xml:space="preserve">Inngest or Trigger.dev</t>
  </si>
  <si>
    <t xml:space="preserve">Durable, retryable, long running steps with fan out per lot.</t>
  </si>
  <si>
    <t xml:space="preserve">D33</t>
  </si>
  <si>
    <t xml:space="preserve">AI provider</t>
  </si>
  <si>
    <t xml:space="preserve">Claude API for extraction, vision and matching</t>
  </si>
  <si>
    <t xml:space="preserve">Smaller model for triage, larger model for deep analysis.</t>
  </si>
  <si>
    <t xml:space="preserve">D34</t>
  </si>
  <si>
    <t xml:space="preserve">Auction page extraction</t>
  </si>
  <si>
    <t xml:space="preserve">Managed service such as Firecrawl or Browserbase</t>
  </si>
  <si>
    <t xml:space="preserve">Handles JavaScript rendering and anti bot measures without self hosting.</t>
  </si>
  <si>
    <t xml:space="preserve">D35</t>
  </si>
  <si>
    <t xml:space="preserve">Web search</t>
  </si>
  <si>
    <t xml:space="preserve">Dedicated search API such as Brave or SerpAPI</t>
  </si>
  <si>
    <t xml:space="preserve">Structured, predictable results and cost.</t>
  </si>
  <si>
    <t xml:space="preserve">D36</t>
  </si>
  <si>
    <t xml:space="preserve">Account structure</t>
  </si>
  <si>
    <t xml:space="preserve">Organisation and team accounts from day one</t>
  </si>
  <si>
    <t xml:space="preserve">Supports you and Jason now and dealers later.</t>
  </si>
  <si>
    <t xml:space="preserve">D37</t>
  </si>
  <si>
    <t xml:space="preserve">Design</t>
  </si>
  <si>
    <t xml:space="preserve">Device priority</t>
  </si>
  <si>
    <t xml:space="preserve">Desktop first analysis with a mobile optimised bid view</t>
  </si>
  <si>
    <t xml:space="preserve">Research at a desk, bid on the phone.</t>
  </si>
  <si>
    <t xml:space="preserve">D38</t>
  </si>
  <si>
    <t xml:space="preserve">Visual style</t>
  </si>
  <si>
    <t xml:space="preserve">Clean, data dense trading desk feel</t>
  </si>
  <si>
    <t xml:space="preserve">Numbers first, calm colours, clear status signals.</t>
  </si>
  <si>
    <t xml:space="preserve">D39</t>
  </si>
  <si>
    <t xml:space="preserve">Theme</t>
  </si>
  <si>
    <t xml:space="preserve">Light and dark mode following system</t>
  </si>
  <si>
    <t xml:space="preserve">D40</t>
  </si>
  <si>
    <t xml:space="preserve">Commercial</t>
  </si>
  <si>
    <t xml:space="preserve">Pricing model</t>
  </si>
  <si>
    <t xml:space="preserve">Subscription tiers with included credits and top up packs</t>
  </si>
  <si>
    <t xml:space="preserve">Predictable revenue with usage based cost control.</t>
  </si>
  <si>
    <t xml:space="preserve">D41</t>
  </si>
  <si>
    <t xml:space="preserve">Free entry</t>
  </si>
  <si>
    <t xml:space="preserve">Free triage with limited catalogues, pay for deep analysis</t>
  </si>
  <si>
    <t xml:space="preserve">Users see value before paying.</t>
  </si>
  <si>
    <t xml:space="preserve">D42</t>
  </si>
  <si>
    <t xml:space="preserve">Suggestions provided in this workbook</t>
  </si>
  <si>
    <t xml:space="preserve">See tab 21.</t>
  </si>
  <si>
    <t xml:space="preserve">D43</t>
  </si>
  <si>
    <t xml:space="preserve">Legal</t>
  </si>
  <si>
    <t xml:space="preserve">Positioning</t>
  </si>
  <si>
    <t xml:space="preserve">Decision support tool, not valuation advice</t>
  </si>
  <si>
    <t xml:space="preserve">Clear disclaimers in the product and the terms.</t>
  </si>
  <si>
    <t xml:space="preserve">D44</t>
  </si>
  <si>
    <t xml:space="preserve">Comparable display</t>
  </si>
  <si>
    <t xml:space="preserve">Link, price, date and text summary. No copied images</t>
  </si>
  <si>
    <t xml:space="preserve">Avoids copyright issues with third party photos.</t>
  </si>
  <si>
    <t xml:space="preserve">D45</t>
  </si>
  <si>
    <t xml:space="preserve">Auction data access</t>
  </si>
  <si>
    <t xml:space="preserve">Respect site terms, rate limit, public pages only</t>
  </si>
  <si>
    <t xml:space="preserve">Formal partnerships considered once there is traction.</t>
  </si>
  <si>
    <t xml:space="preserve">D46</t>
  </si>
  <si>
    <t xml:space="preserve">Delivery</t>
  </si>
  <si>
    <t xml:space="preserve">Builder</t>
  </si>
  <si>
    <t xml:space="preserve">Ashleigh with Claude Code and Codex</t>
  </si>
  <si>
    <t xml:space="preserve">D47</t>
  </si>
  <si>
    <t xml:space="preserve">Timeline</t>
  </si>
  <si>
    <t xml:space="preserve">Internal MVP in six to eight weeks, then iterate</t>
  </si>
  <si>
    <t xml:space="preserve">D48</t>
  </si>
  <si>
    <t xml:space="preserve">Workbook format</t>
  </si>
  <si>
    <t xml:space="preserve">Excel with tabs by topic</t>
  </si>
  <si>
    <t xml:space="preserve">This file.</t>
  </si>
  <si>
    <t xml:space="preserve">D49</t>
  </si>
  <si>
    <t xml:space="preserve">Configuration</t>
  </si>
  <si>
    <t xml:space="preserve">Configuration layers</t>
  </si>
  <si>
    <t xml:space="preserve">Platform, Organisation, User, Lot. Each lower layer overrides the one above unless locked</t>
  </si>
  <si>
    <t xml:space="preserve">Resolution engine reads the lowest set value. See tab 27.</t>
  </si>
  <si>
    <t xml:space="preserve">D50</t>
  </si>
  <si>
    <t xml:space="preserve">Reach of a user override</t>
  </si>
  <si>
    <t xml:space="preserve">That lot, in their organisation only</t>
  </si>
  <si>
    <t xml:space="preserve">Overrides never change defaults or other lots.</t>
  </si>
  <si>
    <t xml:space="preserve">D51</t>
  </si>
  <si>
    <t xml:space="preserve">User corrections to shared data</t>
  </si>
  <si>
    <t xml:space="preserve">Never applied directly. Flagged for admin review, then applied</t>
  </si>
  <si>
    <t xml:space="preserve">Protects every other user from one person's error. See tab 31.</t>
  </si>
  <si>
    <t xml:space="preserve">D52</t>
  </si>
  <si>
    <t xml:space="preserve">Evidence weights, match levels, confidence formula</t>
  </si>
  <si>
    <t xml:space="preserve">Hard coded, versioned and visible to users</t>
  </si>
  <si>
    <t xml:space="preserve">Changed only by a versioned release with a public changelog.</t>
  </si>
  <si>
    <t xml:space="preserve">D53</t>
  </si>
  <si>
    <t xml:space="preserve">Core maths and GST rate</t>
  </si>
  <si>
    <t xml:space="preserve">Hard coded, never overridable</t>
  </si>
  <si>
    <t xml:space="preserve">A legislative GST change is handled by a code release.</t>
  </si>
  <si>
    <t xml:space="preserve">D54</t>
  </si>
  <si>
    <t xml:space="preserve">Helper behaviour</t>
  </si>
  <si>
    <t xml:space="preserve">User enters own resale price</t>
  </si>
  <si>
    <t xml:space="preserve">Allowed. Labelled Your input with system confidence shown separately</t>
  </si>
  <si>
    <t xml:space="preserve">The user may know more than the evidence. The system never presents their figure as its own.</t>
  </si>
  <si>
    <t xml:space="preserve">D55</t>
  </si>
  <si>
    <t xml:space="preserve">Bid above absolute maximum or break even</t>
  </si>
  <si>
    <t xml:space="preserve">Warn and let them proceed</t>
  </si>
  <si>
    <t xml:space="preserve">The platform advises and never blocks a bidding decision.</t>
  </si>
  <si>
    <t xml:space="preserve">D56</t>
  </si>
  <si>
    <t xml:space="preserve">Insufficient evidence</t>
  </si>
  <si>
    <t xml:space="preserve">No system bid. User can enter own resale to calculate</t>
  </si>
  <si>
    <t xml:space="preserve">D57</t>
  </si>
  <si>
    <t xml:space="preserve">Excluding comparables</t>
  </si>
  <si>
    <t xml:space="preserve">Allowed with reason recorded and valuation shown before and after</t>
  </si>
  <si>
    <t xml:space="preserve">D58</t>
  </si>
  <si>
    <t xml:space="preserve">User supplied comparables</t>
  </si>
  <si>
    <t xml:space="preserve">Allowed. Labelled User supplied, own weight category, private to the organisation</t>
  </si>
  <si>
    <t xml:space="preserve">Never shared with other organisations.</t>
  </si>
  <si>
    <t xml:space="preserve">D59</t>
  </si>
  <si>
    <t xml:space="preserve">Overridden value display</t>
  </si>
  <si>
    <t xml:space="preserve">Marker on every overridden field with one click reset to system value</t>
  </si>
  <si>
    <t xml:space="preserve">D60</t>
  </si>
  <si>
    <t xml:space="preserve">Override summary</t>
  </si>
  <si>
    <t xml:space="preserve">Per lot summary of what has changed from the system values</t>
  </si>
  <si>
    <t xml:space="preserve">D61</t>
  </si>
  <si>
    <t xml:space="preserve">Transparency</t>
  </si>
  <si>
    <t xml:space="preserve">Provenance labels</t>
  </si>
  <si>
    <t xml:space="preserve">Every figure tagged Verified, Extracted, Estimated or Your input</t>
  </si>
  <si>
    <t xml:space="preserve">Definitions on tab 29.</t>
  </si>
  <si>
    <t xml:space="preserve">D62</t>
  </si>
  <si>
    <t xml:space="preserve">Negative evidence</t>
  </si>
  <si>
    <t xml:space="preserve">List sources searched and what was not found</t>
  </si>
  <si>
    <t xml:space="preserve">D63</t>
  </si>
  <si>
    <t xml:space="preserve">Data age</t>
  </si>
  <si>
    <t xml:space="preserve">Date checked on every price with a stale warning after seven days</t>
  </si>
  <si>
    <t xml:space="preserve">D64</t>
  </si>
  <si>
    <t xml:space="preserve">AI content</t>
  </si>
  <si>
    <t xml:space="preserve">All AI generated content labelled as AI generated</t>
  </si>
  <si>
    <t xml:space="preserve">Identifications, match reasons and summaries.</t>
  </si>
  <si>
    <t xml:space="preserve">D65</t>
  </si>
  <si>
    <t xml:space="preserve">Unverifiable items</t>
  </si>
  <si>
    <t xml:space="preserve">Fixed We cannot verify panel on every lot</t>
  </si>
  <si>
    <t xml:space="preserve">Category specific items added to the general list.</t>
  </si>
  <si>
    <t xml:space="preserve">D66</t>
  </si>
  <si>
    <t xml:space="preserve">Method explanation</t>
  </si>
  <si>
    <t xml:space="preserve">How this was calculated expander on every bid limit</t>
  </si>
  <si>
    <t xml:space="preserve">D67</t>
  </si>
  <si>
    <t xml:space="preserve">Disclaimers</t>
  </si>
  <si>
    <t xml:space="preserve">Terms acceptance</t>
  </si>
  <si>
    <t xml:space="preserve">Clickwrap at sign up, versioned, re acceptance on material change</t>
  </si>
  <si>
    <t xml:space="preserve">Acceptance recorded with version and timestamp.</t>
  </si>
  <si>
    <t xml:space="preserve">D68</t>
  </si>
  <si>
    <t xml:space="preserve">In product disclaimers</t>
  </si>
  <si>
    <t xml:space="preserve">Short contextual notes where the risk is, full text one tap away</t>
  </si>
  <si>
    <t xml:space="preserve">Avoids banner blindness. Library on tab 30.</t>
  </si>
  <si>
    <t xml:space="preserve">D69</t>
  </si>
  <si>
    <t xml:space="preserve">Export disclaimers</t>
  </si>
  <si>
    <t xml:space="preserve">Footer disclaimer, source tags and analysis date on every export</t>
  </si>
  <si>
    <t xml:space="preserve">D70</t>
  </si>
  <si>
    <t xml:space="preserve">Organisation</t>
  </si>
  <si>
    <t xml:space="preserve">Setting locks</t>
  </si>
  <si>
    <t xml:space="preserve">Org admins can lock chosen defaults for members</t>
  </si>
  <si>
    <t xml:space="preserve">Lock types are Fixed or Floor.</t>
  </si>
  <si>
    <t xml:space="preserve">D71</t>
  </si>
  <si>
    <t xml:space="preserve">Visibility of team overrides</t>
  </si>
  <si>
    <t xml:space="preserve">Visible to everyone in the organisation</t>
  </si>
  <si>
    <t xml:space="preserve">D72</t>
  </si>
  <si>
    <t xml:space="preserve">Audit history</t>
  </si>
  <si>
    <t xml:space="preserve">Organisation wide history of who changed what and when</t>
  </si>
  <si>
    <t xml:space="preserve">D73</t>
  </si>
  <si>
    <t xml:space="preserve">Governance</t>
  </si>
  <si>
    <t xml:space="preserve">New method versions</t>
  </si>
  <si>
    <t xml:space="preserve">Keep old results, show newer method available, user chooses to recalculate</t>
  </si>
  <si>
    <t xml:space="preserve">Past decisions remain reproducible.</t>
  </si>
  <si>
    <t xml:space="preserve">D74</t>
  </si>
  <si>
    <t xml:space="preserve">Method changelog</t>
  </si>
  <si>
    <t xml:space="preserve">Public changelog of method and data source changes</t>
  </si>
  <si>
    <t xml:space="preserve">D75</t>
  </si>
  <si>
    <t xml:space="preserve">Platform defaults</t>
  </si>
  <si>
    <t xml:space="preserve">Admin editable with change log, no deploy needed</t>
  </si>
  <si>
    <t xml:space="preserve">Premium fallbacks, asking discounts, category lists.</t>
  </si>
  <si>
    <t xml:space="preserve">D76</t>
  </si>
  <si>
    <t xml:space="preserve">Reporting wrong data</t>
  </si>
  <si>
    <t xml:space="preserve">Report a problem on every lot, identification and comparable</t>
  </si>
  <si>
    <t xml:space="preserve">Feeds the correction review queue.</t>
  </si>
  <si>
    <t xml:space="preserve">D77</t>
  </si>
  <si>
    <t xml:space="preserve">Accuracy track record</t>
  </si>
  <si>
    <t xml:space="preserve">Published by category once enough outcomes exist</t>
  </si>
  <si>
    <t xml:space="preserve">Minimum sample rule on tab 31.</t>
  </si>
  <si>
    <t xml:space="preserve">D78</t>
  </si>
  <si>
    <t xml:space="preserve">Tone of warnings and disclaimers</t>
  </si>
  <si>
    <t xml:space="preserve">Plain, factual and neutral. States the risk and the reason</t>
  </si>
  <si>
    <t xml:space="preserve">D79</t>
  </si>
  <si>
    <t xml:space="preserve">Enrichment</t>
  </si>
  <si>
    <t xml:space="preserve">Fill in missing lot details</t>
  </si>
  <si>
    <t xml:space="preserve">Yes. Enrich lots with verifiable specifications where the item can be identified</t>
  </si>
  <si>
    <t xml:space="preserve">Adds value beyond valuation. Spec sheet rules on tab 29.</t>
  </si>
  <si>
    <t xml:space="preserve">D80</t>
  </si>
  <si>
    <t xml:space="preserve">Separation of specification sources</t>
  </si>
  <si>
    <t xml:space="preserve">Model specifications, Observed on this lot, Auctioneer stated and Not verified are always kept separate</t>
  </si>
  <si>
    <t xml:space="preserve">Manufacturer data describes the model, not the specific unit at auction.</t>
  </si>
  <si>
    <t xml:space="preserve">D81</t>
  </si>
  <si>
    <t xml:space="preserve">Unidentifiable lots</t>
  </si>
  <si>
    <t xml:space="preserve">No guessing. Lot marked Not identified. User can enter the model to trigger enrichment</t>
  </si>
  <si>
    <t xml:space="preserve">User entered model is tagged Your input.</t>
  </si>
  <si>
    <t xml:space="preserve">D82</t>
  </si>
  <si>
    <t xml:space="preserve">When enrichment runs</t>
  </si>
  <si>
    <t xml:space="preserve">Deep analysis only, included in the credit</t>
  </si>
  <si>
    <t xml:space="preserve">Enrichment also improves comparable matching, so it runs before comparable search.</t>
  </si>
  <si>
    <t xml:space="preserve">D83</t>
  </si>
  <si>
    <t xml:space="preserve">Conflicting information</t>
  </si>
  <si>
    <t xml:space="preserve">Show both values side by side and flag the conflict</t>
  </si>
  <si>
    <t xml:space="preserve">The platform does not decide which source is right.</t>
  </si>
  <si>
    <t xml:space="preserve">D84</t>
  </si>
  <si>
    <t xml:space="preserve">Spec sheet delivery</t>
  </si>
  <si>
    <t xml:space="preserve">Section on lot detail plus downloadable PDF spec sheet</t>
  </si>
  <si>
    <t xml:space="preserve">D85</t>
  </si>
  <si>
    <t xml:space="preserve">Disclaimer coverage</t>
  </si>
  <si>
    <t xml:space="preserve">Subtle contextual notes on every screen, element, notification and export that shows an estimate or third party data</t>
  </si>
  <si>
    <t xml:space="preserve">Coverage map and style rules on tab 30.</t>
  </si>
  <si>
    <t xml:space="preserve">D86</t>
  </si>
  <si>
    <t xml:space="preserve">Recommendation wording</t>
  </si>
  <si>
    <t xml:space="preserve">One standard phrase: We recommend independent checks before bidding</t>
  </si>
  <si>
    <t xml:space="preserve">Used word for word wherever a check is recommended.</t>
  </si>
  <si>
    <t xml:space="preserve">D87</t>
  </si>
  <si>
    <t xml:space="preserve">Unverified details</t>
  </si>
  <si>
    <t xml:space="preserve">Listed as Not verified and never presented as fact, rather than left out</t>
  </si>
  <si>
    <t xml:space="preserve">Shows the buyer what to ask the auctioneer.</t>
  </si>
  <si>
    <t xml:space="preserve">D88</t>
  </si>
  <si>
    <t xml:space="preserve">Website</t>
  </si>
  <si>
    <t xml:space="preserve">Site structure</t>
  </si>
  <si>
    <t xml:space="preserve">Marketing site at root domain, app at app subdomain, one Next.js codebase</t>
  </si>
  <si>
    <t xml:space="preserve">App subdomain is noindex. Shared design tokens and components.</t>
  </si>
  <si>
    <t xml:space="preserve">D89</t>
  </si>
  <si>
    <t xml:space="preserve">Programmatic value guides</t>
  </si>
  <si>
    <t xml:space="preserve">Public price guide pages from our own aggregated data, phase 2</t>
  </si>
  <si>
    <t xml:space="preserve">Largest SEO lever. Publish threshold on tab 35.</t>
  </si>
  <si>
    <t xml:space="preserve">D90</t>
  </si>
  <si>
    <t xml:space="preserve">AI crawler policy</t>
  </si>
  <si>
    <t xml:space="preserve">Allow AI search and answer crawlers, block training crawlers</t>
  </si>
  <si>
    <t xml:space="preserve">Trade off noted on tab 36.</t>
  </si>
  <si>
    <t xml:space="preserve">D91</t>
  </si>
  <si>
    <t xml:space="preserve">Brand</t>
  </si>
  <si>
    <t xml:space="preserve">Personality</t>
  </si>
  <si>
    <t xml:space="preserve">Sharp insider: confident, dry wit, plain speaking, on the buyer's side</t>
  </si>
  <si>
    <t xml:space="preserve">D92</t>
  </si>
  <si>
    <t xml:space="preserve">Where character lives</t>
  </si>
  <si>
    <t xml:space="preserve">Blueprint visual details with plain trustworthy copy</t>
  </si>
  <si>
    <t xml:space="preserve">Drawing sheet frames, title blocks, detail labels, leader dots and measurement lines. Replaces the earlier edgy direction.</t>
  </si>
  <si>
    <t xml:space="preserve">D93</t>
  </si>
  <si>
    <t xml:space="preserve">Default theme</t>
  </si>
  <si>
    <t xml:space="preserve">Light pages with navy blueprint headers and panels</t>
  </si>
  <si>
    <t xml:space="preserve">Replaces dark first. A dark mode for the app is a later option.</t>
  </si>
  <si>
    <t xml:space="preserve">D94</t>
  </si>
  <si>
    <t xml:space="preserve">Colour palette</t>
  </si>
  <si>
    <t xml:space="preserve">Blueprint: navy, drafting white, line cyan, marker yellow and pen blue</t>
  </si>
  <si>
    <t xml:space="preserve">Replaces lime. Yellow is kept for primary actions and the most you should bid figure, never for status.</t>
  </si>
  <si>
    <t xml:space="preserve">D95</t>
  </si>
  <si>
    <t xml:space="preserve">Typography</t>
  </si>
  <si>
    <t xml:space="preserve">Barlow for headings and body, Space Mono for labels and data</t>
  </si>
  <si>
    <t xml:space="preserve">Replaces Space Grotesk, Inter and JetBrains Mono.</t>
  </si>
  <si>
    <t xml:space="preserve">D96</t>
  </si>
  <si>
    <t xml:space="preserve">Visual direction</t>
  </si>
  <si>
    <t xml:space="preserve">Blueprint, based on engineering drawings</t>
  </si>
  <si>
    <t xml:space="preserve">Chosen after comparing twelve options in the MaxBid design canvas.</t>
  </si>
  <si>
    <t xml:space="preserve">D97</t>
  </si>
  <si>
    <t xml:space="preserve">Homepage sections</t>
  </si>
  <si>
    <t xml:space="preserve">Drawing sheet header with search tabs, detail cards, icon tiles, closing list with time remaining, split bar and framed navy sign up</t>
  </si>
  <si>
    <t xml:space="preserve">Picked section by section from the Blueprint section kit.</t>
  </si>
  <si>
    <t xml:space="preserve">D98</t>
  </si>
  <si>
    <t xml:space="preserve">Design sign off</t>
  </si>
  <si>
    <t xml:space="preserve">Blueprint approach signed off on 22 September 2026</t>
  </si>
  <si>
    <t xml:space="preserve">Covers homepage, catalogue results, lot detail, price guide, pricing, how we calculate and the phone lot and bid views.</t>
  </si>
  <si>
    <t xml:space="preserve">D99</t>
  </si>
  <si>
    <t xml:space="preserve">Imagery</t>
  </si>
  <si>
    <t xml:space="preserve">Real product UI, data visuals and bold type. No stock photos</t>
  </si>
  <si>
    <t xml:space="preserve">D100</t>
  </si>
  <si>
    <t xml:space="preserve">UX</t>
  </si>
  <si>
    <t xml:space="preserve">First experience</t>
  </si>
  <si>
    <t xml:space="preserve">Paste a catalogue URL on the homepage and see sample triage before sign up</t>
  </si>
  <si>
    <t xml:space="preserve">Cached shared auctions keep the cost low. Rate limited.</t>
  </si>
  <si>
    <t xml:space="preserve">D101</t>
  </si>
  <si>
    <t xml:space="preserve">Onboarding</t>
  </si>
  <si>
    <t xml:space="preserve">Three step setup then a guided first analysis</t>
  </si>
  <si>
    <t xml:space="preserve">GST, base location, profit target.</t>
  </si>
  <si>
    <t xml:space="preserve">D102</t>
  </si>
  <si>
    <t xml:space="preserve">Accessibility</t>
  </si>
  <si>
    <t xml:space="preserve">WCAG 2.2 AA across site and app</t>
  </si>
  <si>
    <t xml:space="preserve">D103</t>
  </si>
  <si>
    <t xml:space="preserve">Marketing</t>
  </si>
  <si>
    <t xml:space="preserve">Acquisition</t>
  </si>
  <si>
    <t xml:space="preserve">SEO, value guides and presence in reseller communities</t>
  </si>
  <si>
    <t xml:space="preserve">D104</t>
  </si>
  <si>
    <t xml:space="preserve">Signature content</t>
  </si>
  <si>
    <t xml:space="preserve">Weekly Auction Breakdown of top undervalued lots in a real upcoming catalogue</t>
  </si>
  <si>
    <t xml:space="preserve">Feeds the site, email, social and communities.</t>
  </si>
  <si>
    <t xml:space="preserve">D105</t>
  </si>
  <si>
    <t xml:space="preserve">Launch</t>
  </si>
  <si>
    <t xml:space="preserve">Waitlist with founding member pricing, then public launch</t>
  </si>
  <si>
    <t xml:space="preserve">Holding page with waitlist goes live in Week 1 of the build.</t>
  </si>
  <si>
    <t xml:space="preserve">D106</t>
  </si>
  <si>
    <t xml:space="preserve">Product name</t>
  </si>
  <si>
    <t xml:space="preserve">Always written MaxBid. Descriptive name, so trade mark search comes before logo work.</t>
  </si>
  <si>
    <t xml:space="preserve">D107</t>
  </si>
  <si>
    <t xml:space="preserve">Domains</t>
  </si>
  <si>
    <t xml:space="preserve">maxbid.com.au for the marketing site, app.maxbid.com.au for the app</t>
  </si>
  <si>
    <t xml:space="preserve">maxbid.com belongs to a US auction house, so .com.au is the primary and only domain.</t>
  </si>
  <si>
    <t xml:space="preserve">D108</t>
  </si>
  <si>
    <t xml:space="preserve">Build</t>
  </si>
  <si>
    <t xml:space="preserve">Responsive approach</t>
  </si>
  <si>
    <t xml:space="preserve">Mobile first responsive web. Robust desktop and phone experiences from one codebase</t>
  </si>
  <si>
    <t xml:space="preserve">Base styles written for 360px, scaled up with min width breakpoints.</t>
  </si>
  <si>
    <t xml:space="preserve">D109</t>
  </si>
  <si>
    <t xml:space="preserve">Native feel on phones</t>
  </si>
  <si>
    <t xml:space="preserve">Installable progressive web app in V1. No native apps</t>
  </si>
  <si>
    <t xml:space="preserve">Moved from V2. Offline watchlist and bid view, home screen install, web push.</t>
  </si>
  <si>
    <t xml:space="preserve">D110</t>
  </si>
  <si>
    <t xml:space="preserve">Component library</t>
  </si>
  <si>
    <t xml:space="preserve">Shared UI package in a Turborepo monorepo with a Storybook catalogue</t>
  </si>
  <si>
    <t xml:space="preserve">Nothing is built twice. Site and app use the same components.</t>
  </si>
  <si>
    <t xml:space="preserve">D111</t>
  </si>
  <si>
    <t xml:space="preserve">Repository structure</t>
  </si>
  <si>
    <t xml:space="preserve">One monorepo with two Next.js apps (web and app) sharing packages</t>
  </si>
  <si>
    <t xml:space="preserve">Refines D88. Separate deploys, shared code.</t>
  </si>
  <si>
    <t xml:space="preserve">D112</t>
  </si>
  <si>
    <t xml:space="preserve">Page composition</t>
  </si>
  <si>
    <t xml:space="preserve">Thin page shells that import sections, sections built from library components</t>
  </si>
  <si>
    <t xml:space="preserve">Pages hold routing, metadata and data loading only.</t>
  </si>
  <si>
    <t xml:space="preserve">D113</t>
  </si>
  <si>
    <t xml:space="preserve">File size limit</t>
  </si>
  <si>
    <t xml:space="preserve">Hard cap 300 lines per file, target 150</t>
  </si>
  <si>
    <t xml:space="preserve">Enforced by lint in CI. Pages 80 lines, functions 80 lines.</t>
  </si>
  <si>
    <t xml:space="preserve">D114</t>
  </si>
  <si>
    <t xml:space="preserve">Writing style</t>
  </si>
  <si>
    <t xml:space="preserve">Complete sentences in plain everyday words, with every term and figure explained</t>
  </si>
  <si>
    <t xml:space="preserve">Replaces the short fragment style. Twelve writing rules and examples on tab 32.</t>
  </si>
  <si>
    <t xml:space="preserve">D115</t>
  </si>
  <si>
    <t xml:space="preserve">Single sources of truth</t>
  </si>
  <si>
    <t xml:space="preserve">Bid maths, design tokens and disclaimer text each live in one package</t>
  </si>
  <si>
    <t xml:space="preserve">Calculator, app, exports and site can never drift apart.</t>
  </si>
  <si>
    <t xml:space="preserve">Target Users and Personas</t>
  </si>
  <si>
    <t xml:space="preserve">Priority</t>
  </si>
  <si>
    <t xml:space="preserve">Persona</t>
  </si>
  <si>
    <t xml:space="preserve">Description</t>
  </si>
  <si>
    <t xml:space="preserve">Main pain points</t>
  </si>
  <si>
    <t xml:space="preserve">What they need most</t>
  </si>
  <si>
    <t xml:space="preserve">Likely tier</t>
  </si>
  <si>
    <t xml:space="preserve">P1</t>
  </si>
  <si>
    <t xml:space="preserve">Primary</t>
  </si>
  <si>
    <t xml:space="preserve">Part time reseller</t>
  </si>
  <si>
    <t xml:space="preserve">Buys a few lots a month on Grays and Pickles and resells on eBay, Facebook Marketplace and Gumtree.</t>
  </si>
  <si>
    <t xml:space="preserve">Overpaying, forgetting costs, time spent researching each lot.</t>
  </si>
  <si>
    <t xml:space="preserve">Fast triage, clear target bid, mobile bid sheet.</t>
  </si>
  <si>
    <t xml:space="preserve">Starter</t>
  </si>
  <si>
    <t xml:space="preserve">P2</t>
  </si>
  <si>
    <t xml:space="preserve">Full time flipper</t>
  </si>
  <si>
    <t xml:space="preserve">Treats auction buying as a business. Reviews many catalogues each week across categories.</t>
  </si>
  <si>
    <t xml:space="preserve">Volume of lots, cash flow, GST treatment, tracking actual margins.</t>
  </si>
  <si>
    <t xml:space="preserve">Bulk triage, cost profiles, GST cash view, outcome tracking and margin history.</t>
  </si>
  <si>
    <t xml:space="preserve">Pro</t>
  </si>
  <si>
    <t xml:space="preserve">P3</t>
  </si>
  <si>
    <t xml:space="preserve">Internal</t>
  </si>
  <si>
    <t xml:space="preserve">Us (Ashleigh and Jason)</t>
  </si>
  <si>
    <t xml:space="preserve">Buying machinery, tools and general stock, including woodworking equipment for Perth Cabinet Doors.</t>
  </si>
  <si>
    <t xml:space="preserve">Knowing what a machine is really worth before committing.</t>
  </si>
  <si>
    <t xml:space="preserve">Accurate machinery matching and evidence trail.</t>
  </si>
  <si>
    <t xml:space="preserve">P4</t>
  </si>
  <si>
    <t xml:space="preserve">Secondary</t>
  </si>
  <si>
    <t xml:space="preserve">Dealer or liquidator</t>
  </si>
  <si>
    <t xml:space="preserve">Buys in volume with several staff reviewing catalogues.</t>
  </si>
  <si>
    <t xml:space="preserve">Consistency across buyers, approval before bidding, team visibility.</t>
  </si>
  <si>
    <t xml:space="preserve">Team accounts, shared watchlists, roles, exports.</t>
  </si>
  <si>
    <t xml:space="preserve">Dealer</t>
  </si>
  <si>
    <t xml:space="preserve">P5</t>
  </si>
  <si>
    <t xml:space="preserve">Trade business buyer</t>
  </si>
  <si>
    <t xml:space="preserve">Buys equipment for own use rather than resale.</t>
  </si>
  <si>
    <t xml:space="preserve">Knowing a fair price compared with buying new or used elsewhere.</t>
  </si>
  <si>
    <t xml:space="preserve">New price and cheapest available comparison.</t>
  </si>
  <si>
    <t xml:space="preserve">Competitor Landscape</t>
  </si>
  <si>
    <t xml:space="preserve">Based on the earlier research. Recheck before launch.</t>
  </si>
  <si>
    <t xml:space="preserve">Tool</t>
  </si>
  <si>
    <t xml:space="preserve">What it does</t>
  </si>
  <si>
    <t xml:space="preserve">Gap</t>
  </si>
  <si>
    <t xml:space="preserve">Relevance to us</t>
  </si>
  <si>
    <t xml:space="preserve">eBay Product Research</t>
  </si>
  <si>
    <t xml:space="preserve">Sold price history, price ranges, shipping and sell through rates for eBay listings.</t>
  </si>
  <si>
    <t xml:space="preserve">eBay only. No auction catalogue input, no acquisition cost or bid calculation.</t>
  </si>
  <si>
    <t xml:space="preserve">Data source for us rather than a direct competitor.</t>
  </si>
  <si>
    <t xml:space="preserve">Machinio</t>
  </si>
  <si>
    <t xml:space="preserve">Aggregates used machinery listings, specifications and advertised prices worldwide.</t>
  </si>
  <si>
    <t xml:space="preserve">Advertised prices only. No catalogue analysis or bid limits.</t>
  </si>
  <si>
    <t xml:space="preserve">Possible reference source for machinery comparables.</t>
  </si>
  <si>
    <t xml:space="preserve">EquipmentWatch</t>
  </si>
  <si>
    <t xml:space="preserve">Professional valuations for heavy equipment, with API access.</t>
  </si>
  <si>
    <t xml:space="preserve">Heavy equipment focus and professional pricing. No auction workflow.</t>
  </si>
  <si>
    <t xml:space="preserve">Possible paid data partner later for plant and heavy equipment.</t>
  </si>
  <si>
    <t xml:space="preserve">WorthPoint</t>
  </si>
  <si>
    <t xml:space="preserve">Realised auction results for antiques and collectibles.</t>
  </si>
  <si>
    <t xml:space="preserve">Collectibles only. No cost or bid engine.</t>
  </si>
  <si>
    <t xml:space="preserve">Possible reference for collectibles category.</t>
  </si>
  <si>
    <t xml:space="preserve">Manual research</t>
  </si>
  <si>
    <t xml:space="preserve">Google, eBay and dealer sites searched lot by lot.</t>
  </si>
  <si>
    <t xml:space="preserve">Slow, inconsistent, no cost modelling, no evidence record.</t>
  </si>
  <si>
    <t xml:space="preserve">This is the real incumbent we replace.</t>
  </si>
  <si>
    <t xml:space="preserve">Our position</t>
  </si>
  <si>
    <t xml:space="preserve">No known tool takes an Australian auction catalogue, assesses every lot, calculates full acquisition costs and tells a reseller what to bid with evidenced, confidence rated comparables.</t>
  </si>
  <si>
    <t xml:space="preserve">Scope</t>
  </si>
  <si>
    <t xml:space="preserve">V1 is the internal MVP. V2 is the commercial launch. Later covers growth features.</t>
  </si>
  <si>
    <t xml:space="preserve">In V1 (internal MVP)</t>
  </si>
  <si>
    <t xml:space="preserve">V2 and later</t>
  </si>
  <si>
    <t xml:space="preserve">Excluded</t>
  </si>
  <si>
    <t xml:space="preserve">Catalogue input</t>
  </si>
  <si>
    <t xml:space="preserve">Grays, Pickles and Lloyds URLs. PDF catalogue upload.</t>
  </si>
  <si>
    <t xml:space="preserve">Slattery, Manheim, other auction houses. Browser extension.</t>
  </si>
  <si>
    <t xml:space="preserve">Facebook groups and private sales.</t>
  </si>
  <si>
    <t xml:space="preserve">Lot processing</t>
  </si>
  <si>
    <t xml:space="preserve">Extraction, triage of all lots, deep analysis of shortlisted lots.</t>
  </si>
  <si>
    <t xml:space="preserve">Scheduled re analysis before close. Bulk deep analysis.</t>
  </si>
  <si>
    <t xml:space="preserve">Text and photo vision identification with user confirmation.</t>
  </si>
  <si>
    <t xml:space="preserve">Category specific identification rules such as VIN and rego lookup for vehicles.</t>
  </si>
  <si>
    <t xml:space="preserve">Comparables</t>
  </si>
  <si>
    <t xml:space="preserve">eBay active listings, web search results, retailer pages, auction realised results, internal outcome data.</t>
  </si>
  <si>
    <t xml:space="preserve">eBay Marketplace Insights sold data if approved. Paid data partners for heavy equipment.</t>
  </si>
  <si>
    <t xml:space="preserve">Scraping of sites whose terms prohibit it.</t>
  </si>
  <si>
    <t xml:space="preserve">Valuation</t>
  </si>
  <si>
    <t xml:space="preserve">Match levels, evidence weighting, confidence score, conservative, expected and optimistic resale.</t>
  </si>
  <si>
    <t xml:space="preserve">Category specific depreciation and condition models.</t>
  </si>
  <si>
    <t xml:space="preserve">Formal valuation certificates.</t>
  </si>
  <si>
    <t xml:space="preserve">Target, absolute maximum and break even bids. Profit slider. Editable cost lines. GST by profile. Cost profiles. Transport estimate.</t>
  </si>
  <si>
    <t xml:space="preserve">Automatic channel selling fees as an optional helper.</t>
  </si>
  <si>
    <t xml:space="preserve">Watchlist, closing soon alerts, outcome recording, PDF bid sheet, CSV export.</t>
  </si>
  <si>
    <t xml:space="preserve">Saved search alerts for new undervalued lots. Price drop alerts. Margin dashboard.</t>
  </si>
  <si>
    <t xml:space="preserve">Automated bidding on behalf of users.</t>
  </si>
  <si>
    <t xml:space="preserve">Accounts</t>
  </si>
  <si>
    <t xml:space="preserve">Organisations with members and roles. Email and Google sign in.</t>
  </si>
  <si>
    <t xml:space="preserve">Stripe billing, credits, top ups, free tier limits.</t>
  </si>
  <si>
    <t xml:space="preserve">Enterprise SSO.</t>
  </si>
  <si>
    <t xml:space="preserve">Platforms</t>
  </si>
  <si>
    <t xml:space="preserve">Mobile first responsive web app. Installable progressive web app with offline watchlist and bid view.</t>
  </si>
  <si>
    <t xml:space="preserve">Richer offline support.</t>
  </si>
  <si>
    <t xml:space="preserve">Native mobile apps.</t>
  </si>
  <si>
    <t xml:space="preserve">Geography</t>
  </si>
  <si>
    <t xml:space="preserve">Australia.</t>
  </si>
  <si>
    <t xml:space="preserve">New Zealand.</t>
  </si>
  <si>
    <t xml:space="preserve">Global.</t>
  </si>
  <si>
    <t xml:space="preserve">User Journey</t>
  </si>
  <si>
    <t xml:space="preserve">End to end flow for a reseller analysing one catalogue</t>
  </si>
  <si>
    <t xml:space="preserve">Step</t>
  </si>
  <si>
    <t xml:space="preserve">Stage</t>
  </si>
  <si>
    <t xml:space="preserve">What the user does</t>
  </si>
  <si>
    <t xml:space="preserve">What the system does</t>
  </si>
  <si>
    <t xml:space="preserve">Screen</t>
  </si>
  <si>
    <t xml:space="preserve">Submit</t>
  </si>
  <si>
    <t xml:space="preserve">User pastes an auction URL or uploads a PDF and selects a cost profile.</t>
  </si>
  <si>
    <t xml:space="preserve">Platform detected, auction created, analysis job queued.</t>
  </si>
  <si>
    <t xml:space="preserve">Submit screen</t>
  </si>
  <si>
    <t xml:space="preserve">Extract</t>
  </si>
  <si>
    <t xml:space="preserve">User sees a progress bar and can leave the page.</t>
  </si>
  <si>
    <t xml:space="preserve">Lots, photos, descriptions, locations, closing times, current bids and buyer's premium terms extracted.</t>
  </si>
  <si>
    <t xml:space="preserve">Analysis progress</t>
  </si>
  <si>
    <t xml:space="preserve">User receives an email and opens the ranked triage list.</t>
  </si>
  <si>
    <t xml:space="preserve">Quick identification, rough resale range, rough max bid and opportunity score for every lot.</t>
  </si>
  <si>
    <t xml:space="preserve">Triage table</t>
  </si>
  <si>
    <t xml:space="preserve">Filter and shortlist</t>
  </si>
  <si>
    <t xml:space="preserve">User filters by category, value, location and closing time and ticks lots for deep analysis. Credit cost shown before confirming.</t>
  </si>
  <si>
    <t xml:space="preserve">Deep analysis jobs queued per lot.</t>
  </si>
  <si>
    <t xml:space="preserve">Deep analysis</t>
  </si>
  <si>
    <t xml:space="preserve">User waits or returns later. Lots fill in as they complete.</t>
  </si>
  <si>
    <t xml:space="preserve">Vision identification, comparable search, match grading, valuation and bid calculation.</t>
  </si>
  <si>
    <t xml:space="preserve">Lot detail</t>
  </si>
  <si>
    <t xml:space="preserve">Confirm identification</t>
  </si>
  <si>
    <t xml:space="preserve">User confirms or corrects the identified product.</t>
  </si>
  <si>
    <t xml:space="preserve">Correction stored. Lot revalued automatically.</t>
  </si>
  <si>
    <t xml:space="preserve">Review evidence</t>
  </si>
  <si>
    <t xml:space="preserve">User reads the match explanation and opens comparable links.</t>
  </si>
  <si>
    <t xml:space="preserve">Evidence shown with match level, differences, date checked and confidence.</t>
  </si>
  <si>
    <t xml:space="preserve">Lot detail, evidence panel</t>
  </si>
  <si>
    <t xml:space="preserve">Adjust costs and profit</t>
  </si>
  <si>
    <t xml:space="preserve">User expands cost lines, edits repairs or transport, sets profit in dollars or percentage, moves the bid slider.</t>
  </si>
  <si>
    <t xml:space="preserve">Target, absolute maximum and break even bids recalculate instantly.</t>
  </si>
  <si>
    <t xml:space="preserve">Lot detail, calculator</t>
  </si>
  <si>
    <t xml:space="preserve">Watch and export</t>
  </si>
  <si>
    <t xml:space="preserve">User adds lots to the watchlist and downloads the PDF bid sheet.</t>
  </si>
  <si>
    <t xml:space="preserve">Closing soon alerts scheduled. Bid sheet generated.</t>
  </si>
  <si>
    <t xml:space="preserve">Watchlist, export</t>
  </si>
  <si>
    <t xml:space="preserve">Bid</t>
  </si>
  <si>
    <t xml:space="preserve">User bids on the auction site using the mobile bid view.</t>
  </si>
  <si>
    <t xml:space="preserve">Mobile view shows lot, target bid, absolute maximum and a clear stop line.</t>
  </si>
  <si>
    <t xml:space="preserve">Mobile bid view</t>
  </si>
  <si>
    <t xml:space="preserve">Record outcome</t>
  </si>
  <si>
    <t xml:space="preserve">User records won or lost, final hammer price and later the actual resale price.</t>
  </si>
  <si>
    <t xml:space="preserve">Outcome stored as verified evidence and used to measure accuracy.</t>
  </si>
  <si>
    <t xml:space="preserve">Outcomes</t>
  </si>
  <si>
    <t xml:space="preserve">Feature Register</t>
  </si>
  <si>
    <t xml:space="preserve">Priority uses MoSCoW. Phase 1 is the internal MVP.</t>
  </si>
  <si>
    <t xml:space="preserve">Module</t>
  </si>
  <si>
    <t xml:space="preserve">Feature</t>
  </si>
  <si>
    <t xml:space="preserve">Phase</t>
  </si>
  <si>
    <t xml:space="preserve">Depends on</t>
  </si>
  <si>
    <t xml:space="preserve">Acceptance criteria</t>
  </si>
  <si>
    <t xml:space="preserve">F01</t>
  </si>
  <si>
    <t xml:space="preserve">Sign in</t>
  </si>
  <si>
    <t xml:space="preserve">Email magic link and Google sign in through Supabase Auth.</t>
  </si>
  <si>
    <t xml:space="preserve">Must</t>
  </si>
  <si>
    <t xml:space="preserve">User can sign in and out on desktop and mobile.</t>
  </si>
  <si>
    <t xml:space="preserve">F02</t>
  </si>
  <si>
    <t xml:space="preserve">Organisations</t>
  </si>
  <si>
    <t xml:space="preserve">Every user belongs to an organisation. Data is scoped to the organisation.</t>
  </si>
  <si>
    <t xml:space="preserve">Two members of one organisation see the same analyses. Other organisations see nothing.</t>
  </si>
  <si>
    <t xml:space="preserve">F03</t>
  </si>
  <si>
    <t xml:space="preserve">Roles</t>
  </si>
  <si>
    <t xml:space="preserve">Owner, admin, buyer and viewer roles.</t>
  </si>
  <si>
    <t xml:space="preserve">Should</t>
  </si>
  <si>
    <t xml:space="preserve">Viewer cannot edit costs or spend credits.</t>
  </si>
  <si>
    <t xml:space="preserve">F04</t>
  </si>
  <si>
    <t xml:space="preserve">Profile settings</t>
  </si>
  <si>
    <t xml:space="preserve">GST registered, base location, default cost profile, default profit target.</t>
  </si>
  <si>
    <t xml:space="preserve">Changing GST registration recalculates all open lots.</t>
  </si>
  <si>
    <t xml:space="preserve">F05</t>
  </si>
  <si>
    <t xml:space="preserve">URL submission</t>
  </si>
  <si>
    <t xml:space="preserve">Paste a Grays, Pickles or Lloyds URL. Platform detected automatically.</t>
  </si>
  <si>
    <t xml:space="preserve">Unsupported URLs show a clear message and offer PDF upload.</t>
  </si>
  <si>
    <t xml:space="preserve">F06</t>
  </si>
  <si>
    <t xml:space="preserve">PDF upload</t>
  </si>
  <si>
    <t xml:space="preserve">Upload an auction catalogue PDF for extraction.</t>
  </si>
  <si>
    <t xml:space="preserve">Lots extracted from a text PDF and a scanned PDF with at least 90 percent completeness in testing.</t>
  </si>
  <si>
    <t xml:space="preserve">F07</t>
  </si>
  <si>
    <t xml:space="preserve">Grays extractor</t>
  </si>
  <si>
    <t xml:space="preserve">Structured extraction of lots, photos, location, closing time, current bid and terms.</t>
  </si>
  <si>
    <t xml:space="preserve">Extraction service</t>
  </si>
  <si>
    <t xml:space="preserve">All lots from a 300 lot catalogue extracted with correct lot numbers.</t>
  </si>
  <si>
    <t xml:space="preserve">F08</t>
  </si>
  <si>
    <t xml:space="preserve">Pickles extractor</t>
  </si>
  <si>
    <t xml:space="preserve">As above for Pickles.</t>
  </si>
  <si>
    <t xml:space="preserve">As above.</t>
  </si>
  <si>
    <t xml:space="preserve">F09</t>
  </si>
  <si>
    <t xml:space="preserve">Lloyds extractor</t>
  </si>
  <si>
    <t xml:space="preserve">As above for Lloyds.</t>
  </si>
  <si>
    <t xml:space="preserve">F10</t>
  </si>
  <si>
    <t xml:space="preserve">Buyer's premium extraction</t>
  </si>
  <si>
    <t xml:space="preserve">Read premium rates and GST terms from each auction's terms. Fall back to platform default.</t>
  </si>
  <si>
    <t xml:space="preserve">Extractors</t>
  </si>
  <si>
    <t xml:space="preserve">Premium shown with its source and is editable.</t>
  </si>
  <si>
    <t xml:space="preserve">F11</t>
  </si>
  <si>
    <t xml:space="preserve">Durable jobs with retries and fan out per lot.</t>
  </si>
  <si>
    <t xml:space="preserve">A failed lot retries without restarting the catalogue.</t>
  </si>
  <si>
    <t xml:space="preserve">F12</t>
  </si>
  <si>
    <t xml:space="preserve">Progress and email</t>
  </si>
  <si>
    <t xml:space="preserve">Live progress bar and email when triage completes.</t>
  </si>
  <si>
    <t xml:space="preserve">Email arrives within five minutes of completion.</t>
  </si>
  <si>
    <t xml:space="preserve">F13</t>
  </si>
  <si>
    <t xml:space="preserve">Quick identification</t>
  </si>
  <si>
    <t xml:space="preserve">Low cost model identifies each lot from text and the primary photo.</t>
  </si>
  <si>
    <t xml:space="preserve">Category and product type assigned to every lot.</t>
  </si>
  <si>
    <t xml:space="preserve">F14</t>
  </si>
  <si>
    <t xml:space="preserve">Rough valuation</t>
  </si>
  <si>
    <t xml:space="preserve">One search pass returns a rough resale range and rough max bid.</t>
  </si>
  <si>
    <t xml:space="preserve">Range shown with a triage confidence label.</t>
  </si>
  <si>
    <t xml:space="preserve">F15</t>
  </si>
  <si>
    <t xml:space="preserve">Opportunity score</t>
  </si>
  <si>
    <t xml:space="preserve">Score from 0 to 100 ranking lots by likely margin and confidence.</t>
  </si>
  <si>
    <t xml:space="preserve">Table sorted by score by default.</t>
  </si>
  <si>
    <t xml:space="preserve">F16</t>
  </si>
  <si>
    <t xml:space="preserve">Filters</t>
  </si>
  <si>
    <t xml:space="preserve">Category, value range, location and closing time.</t>
  </si>
  <si>
    <t xml:space="preserve">Filters combine and persist for the session.</t>
  </si>
  <si>
    <t xml:space="preserve">F17</t>
  </si>
  <si>
    <t xml:space="preserve">Shortlist and credit preview</t>
  </si>
  <si>
    <t xml:space="preserve">Tick lots for deep analysis. Show credits required before confirming.</t>
  </si>
  <si>
    <t xml:space="preserve">Credits ledger</t>
  </si>
  <si>
    <t xml:space="preserve">User cannot exceed available credits.</t>
  </si>
  <si>
    <t xml:space="preserve">F18</t>
  </si>
  <si>
    <t xml:space="preserve">Vision identification</t>
  </si>
  <si>
    <t xml:space="preserve">Larger model reads all lot photos including data plates and labels.</t>
  </si>
  <si>
    <t xml:space="preserve">Brand and model extracted from plate photos in testing.</t>
  </si>
  <si>
    <t xml:space="preserve">F19</t>
  </si>
  <si>
    <t xml:space="preserve">Identification confirmation</t>
  </si>
  <si>
    <t xml:space="preserve">User confirms or edits brand, model, year, specs and condition.</t>
  </si>
  <si>
    <t xml:space="preserve">Edit triggers automatic revaluation.</t>
  </si>
  <si>
    <t xml:space="preserve">F20</t>
  </si>
  <si>
    <t xml:space="preserve">Comparable search</t>
  </si>
  <si>
    <t xml:space="preserve">Search eBay, web search API, retailer pages, auction realised results and internal data.</t>
  </si>
  <si>
    <t xml:space="preserve">Data sources</t>
  </si>
  <si>
    <t xml:space="preserve">Each lot returns up to 15 candidate comparables.</t>
  </si>
  <si>
    <t xml:space="preserve">F21</t>
  </si>
  <si>
    <t xml:space="preserve">Match grading</t>
  </si>
  <si>
    <t xml:space="preserve">Assign match level, reason and differences to each comparable.</t>
  </si>
  <si>
    <t xml:space="preserve">Every comparable shows a match level and a plain English reason.</t>
  </si>
  <si>
    <t xml:space="preserve">F22</t>
  </si>
  <si>
    <t xml:space="preserve">New price lookup</t>
  </si>
  <si>
    <t xml:space="preserve">Find current or last known new retail price.</t>
  </si>
  <si>
    <t xml:space="preserve">New price shown with source and date or marked not found.</t>
  </si>
  <si>
    <t xml:space="preserve">F23</t>
  </si>
  <si>
    <t xml:space="preserve">Cheapest currently advertised</t>
  </si>
  <si>
    <t xml:space="preserve">Lowest current advertised comparable of similar specification.</t>
  </si>
  <si>
    <t xml:space="preserve">Shown with link, match level and date checked.</t>
  </si>
  <si>
    <t xml:space="preserve">F24</t>
  </si>
  <si>
    <t xml:space="preserve">Evidence weighting</t>
  </si>
  <si>
    <t xml:space="preserve">Weight comparables by type, match level and age.</t>
  </si>
  <si>
    <t xml:space="preserve">Weights visible in the evidence panel.</t>
  </si>
  <si>
    <t xml:space="preserve">F25</t>
  </si>
  <si>
    <t xml:space="preserve">Resale scenarios</t>
  </si>
  <si>
    <t xml:space="preserve">Conservative, expected and optimistic resale values.</t>
  </si>
  <si>
    <t xml:space="preserve">Conservative drives the default max bid.</t>
  </si>
  <si>
    <t xml:space="preserve">F26</t>
  </si>
  <si>
    <t xml:space="preserve">Confidence score</t>
  </si>
  <si>
    <t xml:space="preserve">High, medium, low or insufficient based on the confidence model.</t>
  </si>
  <si>
    <t xml:space="preserve">Insufficient lots show no max bid unless the user enters a resale price.</t>
  </si>
  <si>
    <t xml:space="preserve">F27</t>
  </si>
  <si>
    <t xml:space="preserve">Bid limits</t>
  </si>
  <si>
    <t xml:space="preserve">Target bid, absolute maximum and break even.</t>
  </si>
  <si>
    <t xml:space="preserve">Matches tab 10 formulas to the cent.</t>
  </si>
  <si>
    <t xml:space="preserve">F28</t>
  </si>
  <si>
    <t xml:space="preserve">Dollars or percentage return on cost, set per lot.</t>
  </si>
  <si>
    <t xml:space="preserve">Switching mode recalculates instantly.</t>
  </si>
  <si>
    <t xml:space="preserve">F29</t>
  </si>
  <si>
    <t xml:space="preserve">Bid slider</t>
  </si>
  <si>
    <t xml:space="preserve">Proposed hammer bid slider linked to profit and return.</t>
  </si>
  <si>
    <t xml:space="preserve">Green, amber and red zones match target and minimum settings.</t>
  </si>
  <si>
    <t xml:space="preserve">F30</t>
  </si>
  <si>
    <t xml:space="preserve">Editable cost lines</t>
  </si>
  <si>
    <t xml:space="preserve">Collapsed summary that expands to editable line items.</t>
  </si>
  <si>
    <t xml:space="preserve">Cost profiles</t>
  </si>
  <si>
    <t xml:space="preserve">Edits save per lot and recalculate instantly.</t>
  </si>
  <si>
    <t xml:space="preserve">F31</t>
  </si>
  <si>
    <t xml:space="preserve">Selling fee flag</t>
  </si>
  <si>
    <t xml:space="preserve">Warn when selling fees are blank.</t>
  </si>
  <si>
    <t xml:space="preserve">Flag visible on the lot row and in the bid sheet.</t>
  </si>
  <si>
    <t xml:space="preserve">F32</t>
  </si>
  <si>
    <t xml:space="preserve">GST engine</t>
  </si>
  <si>
    <t xml:space="preserve">Cash required and effective cost after credits based on profile.</t>
  </si>
  <si>
    <t xml:space="preserve">Matches tab 10 for registered and unregistered cases.</t>
  </si>
  <si>
    <t xml:space="preserve">F33</t>
  </si>
  <si>
    <t xml:space="preserve">Multiple saved profiles of default costs.</t>
  </si>
  <si>
    <t xml:space="preserve">New lots inherit the selected profile.</t>
  </si>
  <si>
    <t xml:space="preserve">F34</t>
  </si>
  <si>
    <t xml:space="preserve">Transport estimate</t>
  </si>
  <si>
    <t xml:space="preserve">Distance from base to lot location multiplied by rate per km plus base fee by size class.</t>
  </si>
  <si>
    <t xml:space="preserve">Routing API</t>
  </si>
  <si>
    <t xml:space="preserve">Estimate shown with distance and editable.</t>
  </si>
  <si>
    <t xml:space="preserve">F35</t>
  </si>
  <si>
    <t xml:space="preserve">Watchlist</t>
  </si>
  <si>
    <t xml:space="preserve">Save lots across auctions.</t>
  </si>
  <si>
    <t xml:space="preserve">Watchlist shows live closing countdown.</t>
  </si>
  <si>
    <t xml:space="preserve">F36</t>
  </si>
  <si>
    <t xml:space="preserve">Closing soon alerts</t>
  </si>
  <si>
    <t xml:space="preserve">Email and push alerts before a watchlisted lot closes.</t>
  </si>
  <si>
    <t xml:space="preserve">Alert timing set by the user.</t>
  </si>
  <si>
    <t xml:space="preserve">F37</t>
  </si>
  <si>
    <t xml:space="preserve">Outcome recording</t>
  </si>
  <si>
    <t xml:space="preserve">Won or lost, hammer price, actual resale price and date.</t>
  </si>
  <si>
    <t xml:space="preserve">Outcome feeds internal comparables.</t>
  </si>
  <si>
    <t xml:space="preserve">F38</t>
  </si>
  <si>
    <t xml:space="preserve">PDF bid sheet</t>
  </si>
  <si>
    <t xml:space="preserve">One line per lot with target and absolute maximum, readable on a phone.</t>
  </si>
  <si>
    <t xml:space="preserve">Generates in under ten seconds for 50 lots.</t>
  </si>
  <si>
    <t xml:space="preserve">F39</t>
  </si>
  <si>
    <t xml:space="preserve">CSV export</t>
  </si>
  <si>
    <t xml:space="preserve">Full lot data with costs and bids.</t>
  </si>
  <si>
    <t xml:space="preserve">Opens cleanly in Excel.</t>
  </si>
  <si>
    <t xml:space="preserve">F40</t>
  </si>
  <si>
    <t xml:space="preserve">Mobile</t>
  </si>
  <si>
    <t xml:space="preserve">Large type view of watchlisted lots with target, maximum and stop line.</t>
  </si>
  <si>
    <t xml:space="preserve">Usable one handed on a phone.</t>
  </si>
  <si>
    <t xml:space="preserve">F41</t>
  </si>
  <si>
    <t xml:space="preserve">Admin</t>
  </si>
  <si>
    <t xml:space="preserve">Platform admin</t>
  </si>
  <si>
    <t xml:space="preserve">Manage auction platforms, premium defaults, categories and extractor health.</t>
  </si>
  <si>
    <t xml:space="preserve">Admin can update a platform default without a deploy.</t>
  </si>
  <si>
    <t xml:space="preserve">F42</t>
  </si>
  <si>
    <t xml:space="preserve">Cost and usage logging</t>
  </si>
  <si>
    <t xml:space="preserve">Record AI, search and extraction cost per job.</t>
  </si>
  <si>
    <t xml:space="preserve">Cost per catalogue visible in admin.</t>
  </si>
  <si>
    <t xml:space="preserve">F43</t>
  </si>
  <si>
    <t xml:space="preserve">Billing</t>
  </si>
  <si>
    <t xml:space="preserve">Stripe subscriptions</t>
  </si>
  <si>
    <t xml:space="preserve">Tiers with monthly credit allowance.</t>
  </si>
  <si>
    <t xml:space="preserve">Credits granted on renewal.</t>
  </si>
  <si>
    <t xml:space="preserve">F44</t>
  </si>
  <si>
    <t xml:space="preserve">Top up packs</t>
  </si>
  <si>
    <t xml:space="preserve">One off credit purchases.</t>
  </si>
  <si>
    <t xml:space="preserve">Credits available immediately after payment.</t>
  </si>
  <si>
    <t xml:space="preserve">F45</t>
  </si>
  <si>
    <t xml:space="preserve">Free tier limits</t>
  </si>
  <si>
    <t xml:space="preserve">Limited triage catalogues and starter credits.</t>
  </si>
  <si>
    <t xml:space="preserve">Limits enforced server side.</t>
  </si>
  <si>
    <t xml:space="preserve">F46</t>
  </si>
  <si>
    <t xml:space="preserve">Growth</t>
  </si>
  <si>
    <t xml:space="preserve">Saved search alerts</t>
  </si>
  <si>
    <t xml:space="preserve">Alert when a new lot matches saved criteria with a high opportunity score.</t>
  </si>
  <si>
    <t xml:space="preserve">Could</t>
  </si>
  <si>
    <t xml:space="preserve">F47</t>
  </si>
  <si>
    <t xml:space="preserve">Margin dashboard</t>
  </si>
  <si>
    <t xml:space="preserve">Actual versus predicted margin over time.</t>
  </si>
  <si>
    <t xml:space="preserve">F48</t>
  </si>
  <si>
    <t xml:space="preserve">Additional auction sources</t>
  </si>
  <si>
    <t xml:space="preserve">Slattery, Manheim and others.</t>
  </si>
  <si>
    <t xml:space="preserve">F49</t>
  </si>
  <si>
    <t xml:space="preserve">Category rules</t>
  </si>
  <si>
    <t xml:space="preserve">Vehicle, machinery, tools, electronics specific valuation rules.</t>
  </si>
  <si>
    <t xml:space="preserve">F50</t>
  </si>
  <si>
    <t xml:space="preserve">Automatic selling fees helper</t>
  </si>
  <si>
    <t xml:space="preserve">Optional channel fee presets.</t>
  </si>
  <si>
    <t xml:space="preserve">F51</t>
  </si>
  <si>
    <t xml:space="preserve">Settings resolution engine</t>
  </si>
  <si>
    <t xml:space="preserve">Resolves each setting from Platform, Organisation, User and Lot layers with lock rules.</t>
  </si>
  <si>
    <t xml:space="preserve">Unit tests cover every precedence and lock case on tab 28.</t>
  </si>
  <si>
    <t xml:space="preserve">F52</t>
  </si>
  <si>
    <t xml:space="preserve">Organisation setting locks</t>
  </si>
  <si>
    <t xml:space="preserve">Admins lock chosen settings as Fixed or Floor. Enforced in the database.</t>
  </si>
  <si>
    <t xml:space="preserve">A buyer cannot save a value below a Floor lock through the UI or API.</t>
  </si>
  <si>
    <t xml:space="preserve">F53</t>
  </si>
  <si>
    <t xml:space="preserve">Override markers and reset</t>
  </si>
  <si>
    <t xml:space="preserve">Marker on every overridden field with one click reset to system value.</t>
  </si>
  <si>
    <t xml:space="preserve">Reset restores the current system value and records the change.</t>
  </si>
  <si>
    <t xml:space="preserve">F54</t>
  </si>
  <si>
    <t xml:space="preserve">Per lot list of every field changed from the system value.</t>
  </si>
  <si>
    <t xml:space="preserve">Summary shows field, system value, your value, who and when.</t>
  </si>
  <si>
    <t xml:space="preserve">F55</t>
  </si>
  <si>
    <t xml:space="preserve">Provenance tags</t>
  </si>
  <si>
    <t xml:space="preserve">Verified, Extracted, Estimated or Your input tag on every figure.</t>
  </si>
  <si>
    <t xml:space="preserve">No figure renders without a tag.</t>
  </si>
  <si>
    <t xml:space="preserve">F56</t>
  </si>
  <si>
    <t xml:space="preserve">AI generated labels</t>
  </si>
  <si>
    <t xml:space="preserve">Label on identifications, match reasons and summaries.</t>
  </si>
  <si>
    <t xml:space="preserve">Label present wherever AI output is shown.</t>
  </si>
  <si>
    <t xml:space="preserve">F57</t>
  </si>
  <si>
    <t xml:space="preserve">Searched and not found panel</t>
  </si>
  <si>
    <t xml:space="preserve">Lists every source queried, results found and what was not found.</t>
  </si>
  <si>
    <t xml:space="preserve">Panel shows all sources even when zero results.</t>
  </si>
  <si>
    <t xml:space="preserve">F58</t>
  </si>
  <si>
    <t xml:space="preserve">We cannot verify panel</t>
  </si>
  <si>
    <t xml:space="preserve">Fixed general list plus category specific items.</t>
  </si>
  <si>
    <t xml:space="preserve">Categories</t>
  </si>
  <si>
    <t xml:space="preserve">Present on every lot and in the bid sheet.</t>
  </si>
  <si>
    <t xml:space="preserve">F59</t>
  </si>
  <si>
    <t xml:space="preserve">How this was calculated</t>
  </si>
  <si>
    <t xml:space="preserve">Expander on every bid limit showing inputs, tags, formula in words and method version.</t>
  </si>
  <si>
    <t xml:space="preserve">Figures in the expander reconcile to the bid limit.</t>
  </si>
  <si>
    <t xml:space="preserve">F60</t>
  </si>
  <si>
    <t xml:space="preserve">Stale data warning</t>
  </si>
  <si>
    <t xml:space="preserve">Warning on prices checked more than seven days ago with refresh action.</t>
  </si>
  <si>
    <t xml:space="preserve">Warning appears on day eight.</t>
  </si>
  <si>
    <t xml:space="preserve">F61</t>
  </si>
  <si>
    <t xml:space="preserve">Add user comparable</t>
  </si>
  <si>
    <t xml:space="preserve">User adds a link or price as a private comparable.</t>
  </si>
  <si>
    <t xml:space="preserve">Visible only within the organisation and tagged User supplied.</t>
  </si>
  <si>
    <t xml:space="preserve">F62</t>
  </si>
  <si>
    <t xml:space="preserve">Exclude comparable with reason</t>
  </si>
  <si>
    <t xml:space="preserve">Exclusion requires a reason and shows valuation before and after.</t>
  </si>
  <si>
    <t xml:space="preserve">Before and after values shown in the override summary.</t>
  </si>
  <si>
    <t xml:space="preserve">F63</t>
  </si>
  <si>
    <t xml:space="preserve">Soft warnings</t>
  </si>
  <si>
    <t xml:space="preserve">Warnings for risky bids and inputs without blocking.</t>
  </si>
  <si>
    <t xml:space="preserve">Disclaimer library</t>
  </si>
  <si>
    <t xml:space="preserve">Every situation on tab 28 produces the correct response.</t>
  </si>
  <si>
    <t xml:space="preserve">F64</t>
  </si>
  <si>
    <t xml:space="preserve">Report a problem</t>
  </si>
  <si>
    <t xml:space="preserve">Report action on every lot, identification and comparable.</t>
  </si>
  <si>
    <t xml:space="preserve">Report reaches the admin queue with full context.</t>
  </si>
  <si>
    <t xml:space="preserve">F65</t>
  </si>
  <si>
    <t xml:space="preserve">Correction review queue</t>
  </si>
  <si>
    <t xml:space="preserve">Admin queue for corrections that would change shared data.</t>
  </si>
  <si>
    <t xml:space="preserve">Approved change applies to shared record with provenance recorded.</t>
  </si>
  <si>
    <t xml:space="preserve">F66</t>
  </si>
  <si>
    <t xml:space="preserve">Terms versioning and clickwrap</t>
  </si>
  <si>
    <t xml:space="preserve">Versioned terms with recorded acceptance and re acceptance on material change.</t>
  </si>
  <si>
    <t xml:space="preserve">User cannot continue after a material change until accepted.</t>
  </si>
  <si>
    <t xml:space="preserve">F67</t>
  </si>
  <si>
    <t xml:space="preserve">Method versioning</t>
  </si>
  <si>
    <t xml:space="preserve">Every valuation stamped with method version. Newer method prompt with user chosen recalculation.</t>
  </si>
  <si>
    <t xml:space="preserve">Old valuation remains viewable after recalculation.</t>
  </si>
  <si>
    <t xml:space="preserve">F68</t>
  </si>
  <si>
    <t xml:space="preserve">Public changelog</t>
  </si>
  <si>
    <t xml:space="preserve">Changelog page for method and data source changes.</t>
  </si>
  <si>
    <t xml:space="preserve">Every method release has an entry.</t>
  </si>
  <si>
    <t xml:space="preserve">F69</t>
  </si>
  <si>
    <t xml:space="preserve">Platform settings admin</t>
  </si>
  <si>
    <t xml:space="preserve">Admin editable platform defaults with change log.</t>
  </si>
  <si>
    <t xml:space="preserve">Every change records old value, new value, who and why.</t>
  </si>
  <si>
    <t xml:space="preserve">F70</t>
  </si>
  <si>
    <t xml:space="preserve">Organisation audit history</t>
  </si>
  <si>
    <t xml:space="preserve">History view of changes across the organisation.</t>
  </si>
  <si>
    <t xml:space="preserve">Audit log</t>
  </si>
  <si>
    <t xml:space="preserve">Filter by user, lot and date.</t>
  </si>
  <si>
    <t xml:space="preserve">F71</t>
  </si>
  <si>
    <t xml:space="preserve">Lot enrichment</t>
  </si>
  <si>
    <t xml:space="preserve">Fill missing specifications from manufacturer, dealer and specification sources once the item is identified.</t>
  </si>
  <si>
    <t xml:space="preserve">Every enriched field carries a source class, provenance tag, source link and date checked.</t>
  </si>
  <si>
    <t xml:space="preserve">F72</t>
  </si>
  <si>
    <t xml:space="preserve">Source class separation</t>
  </si>
  <si>
    <t xml:space="preserve">Each field shown under Model specifications, Observed on this lot, Auctioneer stated or Not verified.</t>
  </si>
  <si>
    <t xml:space="preserve">No model specification is ever displayed as confirmed for the unit.</t>
  </si>
  <si>
    <t xml:space="preserve">F73</t>
  </si>
  <si>
    <t xml:space="preserve">Conflict flags</t>
  </si>
  <si>
    <t xml:space="preserve">Where sources disagree, show both values side by side with a conflict flag.</t>
  </si>
  <si>
    <t xml:space="preserve">Conflicts appear on lot detail, spec sheet and bid sheet.</t>
  </si>
  <si>
    <t xml:space="preserve">F74</t>
  </si>
  <si>
    <t xml:space="preserve">Not identified state</t>
  </si>
  <si>
    <t xml:space="preserve">Lots that cannot be identified show Not identified and a field for the user to enter brand and model.</t>
  </si>
  <si>
    <t xml:space="preserve">User entry triggers enrichment and revaluation.</t>
  </si>
  <si>
    <t xml:space="preserve">F75</t>
  </si>
  <si>
    <t xml:space="preserve">Optional equipment check</t>
  </si>
  <si>
    <t xml:space="preserve">List the model's known options and mark each as observed, stated, absent or not verified for this lot.</t>
  </si>
  <si>
    <t xml:space="preserve">Options list shown for machinery and vehicles where manufacturer data lists options.</t>
  </si>
  <si>
    <t xml:space="preserve">F76</t>
  </si>
  <si>
    <t xml:space="preserve">PDF spec sheet</t>
  </si>
  <si>
    <t xml:space="preserve">Downloadable spec sheet per lot with source classes, links, conflicts and disclaimer.</t>
  </si>
  <si>
    <t xml:space="preserve">Every field on the PDF matches lot detail.</t>
  </si>
  <si>
    <t xml:space="preserve">F77</t>
  </si>
  <si>
    <t xml:space="preserve">Marketing site</t>
  </si>
  <si>
    <t xml:space="preserve">Public site at root domain per tab 34, server rendered, light pages with navy blueprint headers.</t>
  </si>
  <si>
    <t xml:space="preserve">All pages meet tab 34 technical SEO checklist.</t>
  </si>
  <si>
    <t xml:space="preserve">F78</t>
  </si>
  <si>
    <t xml:space="preserve">Waitlist holding page</t>
  </si>
  <si>
    <t xml:space="preserve">Branded holding page with email capture and founding member promise.</t>
  </si>
  <si>
    <t xml:space="preserve">Brand name</t>
  </si>
  <si>
    <t xml:space="preserve">Live in Week 1. Sign ups stored with source.</t>
  </si>
  <si>
    <t xml:space="preserve">F79</t>
  </si>
  <si>
    <t xml:space="preserve">Try before sign up</t>
  </si>
  <si>
    <t xml:space="preserve">Homepage URL field returns a sample triage from cached shared data.</t>
  </si>
  <si>
    <t xml:space="preserve">Triage engine</t>
  </si>
  <si>
    <t xml:space="preserve">Result in under 60 seconds for cached auctions. Rate limited.</t>
  </si>
  <si>
    <t xml:space="preserve">F80</t>
  </si>
  <si>
    <t xml:space="preserve">Value guide pages</t>
  </si>
  <si>
    <t xml:space="preserve">Programmatic price guides per tab 35.</t>
  </si>
  <si>
    <t xml:space="preserve">Outcome and comparable data</t>
  </si>
  <si>
    <t xml:space="preserve">Only pages meeting the threshold are indexable.</t>
  </si>
  <si>
    <t xml:space="preserve">F81</t>
  </si>
  <si>
    <t xml:space="preserve">Auction Breakdown pages</t>
  </si>
  <si>
    <t xml:space="preserve">Weekly public breakdown pages with email and social assets.</t>
  </si>
  <si>
    <t xml:space="preserve">Published weekly from an admin template.</t>
  </si>
  <si>
    <t xml:space="preserve">F82</t>
  </si>
  <si>
    <t xml:space="preserve">Structured data</t>
  </si>
  <si>
    <t xml:space="preserve">Organization, WebSite, SoftwareApplication, Article, Dataset, BreadcrumbList and FAQPage where relevant.</t>
  </si>
  <si>
    <t xml:space="preserve">Validates in Google Rich Results Test and Schema validator.</t>
  </si>
  <si>
    <t xml:space="preserve">F83</t>
  </si>
  <si>
    <t xml:space="preserve">Dynamic social images</t>
  </si>
  <si>
    <t xml:space="preserve">Generated Open Graph images for every public page.</t>
  </si>
  <si>
    <t xml:space="preserve">Every shared link renders a branded card.</t>
  </si>
  <si>
    <t xml:space="preserve">F84</t>
  </si>
  <si>
    <t xml:space="preserve">Three step setup</t>
  </si>
  <si>
    <t xml:space="preserve">GST registered, base location, profit target.</t>
  </si>
  <si>
    <t xml:space="preserve">Completable in under two minutes.</t>
  </si>
  <si>
    <t xml:space="preserve">F85</t>
  </si>
  <si>
    <t xml:space="preserve">Guided first analysis</t>
  </si>
  <si>
    <t xml:space="preserve">Walks the user through triage, shortlist and one deep analysis with inline tips.</t>
  </si>
  <si>
    <t xml:space="preserve">Tips dismissable and never shown again once dismissed.</t>
  </si>
  <si>
    <t xml:space="preserve">F86</t>
  </si>
  <si>
    <t xml:space="preserve">Referral programme</t>
  </si>
  <si>
    <t xml:space="preserve">Referrer and referred organisation both receive bonus credits after first payment.</t>
  </si>
  <si>
    <t xml:space="preserve">Credits applied automatically.</t>
  </si>
  <si>
    <t xml:space="preserve">F87</t>
  </si>
  <si>
    <t xml:space="preserve">Lifecycle email</t>
  </si>
  <si>
    <t xml:space="preserve">Welcome, first result, closing alerts, outcome reminder, win back.</t>
  </si>
  <si>
    <t xml:space="preserve">Email</t>
  </si>
  <si>
    <t xml:space="preserve">Every email has an unsubscribe except transactional alerts.</t>
  </si>
  <si>
    <t xml:space="preserve">F88</t>
  </si>
  <si>
    <t xml:space="preserve">packages/ui with tokens, primitives and composites, catalogued in Storybook.</t>
  </si>
  <si>
    <t xml:space="preserve">Every UI element used in a page exists in the library with stories.</t>
  </si>
  <si>
    <t xml:space="preserve">F89</t>
  </si>
  <si>
    <t xml:space="preserve">Shared calculation package</t>
  </si>
  <si>
    <t xml:space="preserve">packages/calc holds the bid engine used by site, app, exports and tests.</t>
  </si>
  <si>
    <t xml:space="preserve">Tab 10 cases pass as unit tests to the cent.</t>
  </si>
  <si>
    <t xml:space="preserve">F90</t>
  </si>
  <si>
    <t xml:space="preserve">Shared content package</t>
  </si>
  <si>
    <t xml:space="preserve">packages/content holds disclaimer messages DS01 to DS35 and standard phrases.</t>
  </si>
  <si>
    <t xml:space="preserve">No disclaimer text is typed directly into a page.</t>
  </si>
  <si>
    <t xml:space="preserve">F91</t>
  </si>
  <si>
    <t xml:space="preserve">Installable web app</t>
  </si>
  <si>
    <t xml:space="preserve">Web app manifest, icons, standalone display and install prompt.</t>
  </si>
  <si>
    <t xml:space="preserve">Installs to home screen on iOS and Android.</t>
  </si>
  <si>
    <t xml:space="preserve">F92</t>
  </si>
  <si>
    <t xml:space="preserve">Offline bid view</t>
  </si>
  <si>
    <t xml:space="preserve">Service worker caches watchlist and bid view data.</t>
  </si>
  <si>
    <t xml:space="preserve">Bid view shows last synced figures with no signal and a clear last updated time.</t>
  </si>
  <si>
    <t xml:space="preserve">F93</t>
  </si>
  <si>
    <t xml:space="preserve">Web push alerts</t>
  </si>
  <si>
    <t xml:space="preserve">Closing soon alerts through web push on installed app.</t>
  </si>
  <si>
    <t xml:space="preserve">Alert received on an installed iPhone and Android device.</t>
  </si>
  <si>
    <t xml:space="preserve">F94</t>
  </si>
  <si>
    <t xml:space="preserve">Accuracy page</t>
  </si>
  <si>
    <t xml:space="preserve">Published accuracy by category once minimum outcomes are reached.</t>
  </si>
  <si>
    <t xml:space="preserve">Categories below the minimum show Not enough data yet.</t>
  </si>
  <si>
    <t xml:space="preserve">Matching, Evidence and Confidence Logic</t>
  </si>
  <si>
    <t xml:space="preserve">Starting weights. Calibrate against recorded outcomes during the MVP.</t>
  </si>
  <si>
    <t xml:space="preserve">Match levels</t>
  </si>
  <si>
    <t xml:space="preserve">Match level</t>
  </si>
  <si>
    <t xml:space="preserve">Definition</t>
  </si>
  <si>
    <t xml:space="preserve">Match weight</t>
  </si>
  <si>
    <t xml:space="preserve">Price adjustment</t>
  </si>
  <si>
    <t xml:space="preserve">Standard explanation text</t>
  </si>
  <si>
    <t xml:space="preserve">Exact</t>
  </si>
  <si>
    <t xml:space="preserve">Same brand, model and material specification.</t>
  </si>
  <si>
    <t xml:space="preserve">None</t>
  </si>
  <si>
    <t xml:space="preserve">Exact match. Same brand, model and specification.</t>
  </si>
  <si>
    <t xml:space="preserve">Near exact</t>
  </si>
  <si>
    <t xml:space="preserve">Same model with a minor year or specification difference.</t>
  </si>
  <si>
    <t xml:space="preserve">Small adjustment where the difference is known</t>
  </si>
  <si>
    <t xml:space="preserve">Same model. Differs in year or a minor option.</t>
  </si>
  <si>
    <t xml:space="preserve">Higher specification</t>
  </si>
  <si>
    <t xml:space="preserve">Comparable has greater capacity, features or performance.</t>
  </si>
  <si>
    <t xml:space="preserve">Adjust price downward</t>
  </si>
  <si>
    <t xml:space="preserve">No exact match found. This comparable has more features, so it may overstate value.</t>
  </si>
  <si>
    <t xml:space="preserve">Lower specification</t>
  </si>
  <si>
    <t xml:space="preserve">Comparable has fewer features or lower capacity.</t>
  </si>
  <si>
    <t xml:space="preserve">Adjust price upward</t>
  </si>
  <si>
    <t xml:space="preserve">No exact match found. This comparable has fewer features, so it may understate value.</t>
  </si>
  <si>
    <t xml:space="preserve">Similar alternative</t>
  </si>
  <si>
    <t xml:space="preserve">Different brand or model with broadly comparable capability.</t>
  </si>
  <si>
    <t xml:space="preserve">Adjust by brand tier where known</t>
  </si>
  <si>
    <t xml:space="preserve">Different brand or model with similar capability. Treat as a guide only.</t>
  </si>
  <si>
    <t xml:space="preserve">No defensible comparable located.</t>
  </si>
  <si>
    <t xml:space="preserve">Not used</t>
  </si>
  <si>
    <t xml:space="preserve">We could not find a reliable comparable. Enter your own resale estimate to calculate a bid.</t>
  </si>
  <si>
    <t xml:space="preserve">Evidence type weights</t>
  </si>
  <si>
    <t xml:space="preserve">Evidence type</t>
  </si>
  <si>
    <t xml:space="preserve">Evidence weight</t>
  </si>
  <si>
    <t xml:space="preserve">Used for</t>
  </si>
  <si>
    <t xml:space="preserve">Verified outcome (own organisation)</t>
  </si>
  <si>
    <t xml:space="preserve">Actual resale recorded by the user's organisation.</t>
  </si>
  <si>
    <t xml:space="preserve">Resale</t>
  </si>
  <si>
    <t xml:space="preserve">Auction realised result</t>
  </si>
  <si>
    <t xml:space="preserve">Hammer price from a past Grays, Pickles or Lloyds auction, adjusted for premium.</t>
  </si>
  <si>
    <t xml:space="preserve">Resale floor and auction market</t>
  </si>
  <si>
    <t xml:space="preserve">Marketplace sold listing</t>
  </si>
  <si>
    <t xml:space="preserve">Completed sale on eBay or similar, where access is available.</t>
  </si>
  <si>
    <t xml:space="preserve">Verified outcome (pooled, anonymised)</t>
  </si>
  <si>
    <t xml:space="preserve">Outcomes from other organisations, anonymised. Later phase.</t>
  </si>
  <si>
    <t xml:space="preserve">Used advertised listing</t>
  </si>
  <si>
    <t xml:space="preserve">Current asking price for a used item.</t>
  </si>
  <si>
    <t xml:space="preserve">Resale ceiling. Apply asking to selling discount.</t>
  </si>
  <si>
    <t xml:space="preserve">User supplied comparable</t>
  </si>
  <si>
    <t xml:space="preserve">Link or price added by the user's organisation. Private to that organisation.</t>
  </si>
  <si>
    <t xml:space="preserve">Resale, that organisation only</t>
  </si>
  <si>
    <t xml:space="preserve">New retail price</t>
  </si>
  <si>
    <t xml:space="preserve">Current or last known new price.</t>
  </si>
  <si>
    <t xml:space="preserve">Reference only. Not used for resale.</t>
  </si>
  <si>
    <t xml:space="preserve">Recency decay</t>
  </si>
  <si>
    <t xml:space="preserve">Evidence age</t>
  </si>
  <si>
    <t xml:space="preserve">Recency weight</t>
  </si>
  <si>
    <t xml:space="preserve">0 to 90 days</t>
  </si>
  <si>
    <t xml:space="preserve">91 to 180 days</t>
  </si>
  <si>
    <t xml:space="preserve">181 to 365 days</t>
  </si>
  <si>
    <t xml:space="preserve">Over 365 days</t>
  </si>
  <si>
    <t xml:space="preserve">Combined weight and resale scenarios</t>
  </si>
  <si>
    <t xml:space="preserve">Comparable weight</t>
  </si>
  <si>
    <t xml:space="preserve">Match weight multiplied by evidence weight multiplied by recency weight.</t>
  </si>
  <si>
    <t xml:space="preserve">Asking to selling discount</t>
  </si>
  <si>
    <t xml:space="preserve">Advertised used prices are reduced by a category default, starting at 10 percent, before weighting. Editable in admin.</t>
  </si>
  <si>
    <t xml:space="preserve">Conservative resale</t>
  </si>
  <si>
    <t xml:space="preserve">Weighted 25th percentile of adjusted comparable prices.</t>
  </si>
  <si>
    <t xml:space="preserve">Expected resale</t>
  </si>
  <si>
    <t xml:space="preserve">Weighted median of adjusted comparable prices.</t>
  </si>
  <si>
    <t xml:space="preserve">Optimistic resale</t>
  </si>
  <si>
    <t xml:space="preserve">Weighted 75th percentile of adjusted comparable prices.</t>
  </si>
  <si>
    <t xml:space="preserve">Minimum evidence</t>
  </si>
  <si>
    <t xml:space="preserve">At least three comparables with a combined weight of 1.5 or more before a scenario range is shown. Otherwise the lot is marked Low or Insufficient.</t>
  </si>
  <si>
    <t xml:space="preserve">Optimism flag</t>
  </si>
  <si>
    <t xml:space="preserve">If the user's profit target is only met on the optimistic scenario, the lot shows a visible warning.</t>
  </si>
  <si>
    <t xml:space="preserve">Confidence score (0 to 100)</t>
  </si>
  <si>
    <t xml:space="preserve">Component</t>
  </si>
  <si>
    <t xml:space="preserve">Calculation</t>
  </si>
  <si>
    <t xml:space="preserve">Weight</t>
  </si>
  <si>
    <t xml:space="preserve">Identification confidence</t>
  </si>
  <si>
    <t xml:space="preserve">Model confidence in brand and model, raised to 100 when user confirmed.</t>
  </si>
  <si>
    <t xml:space="preserve">Best match level</t>
  </si>
  <si>
    <t xml:space="preserve">Weight of the best comparable's match level multiplied by 100.</t>
  </si>
  <si>
    <t xml:space="preserve">Evidence volume</t>
  </si>
  <si>
    <t xml:space="preserve">Combined comparable weight, capped at 5, scaled to 100.</t>
  </si>
  <si>
    <t xml:space="preserve">Sold evidence share</t>
  </si>
  <si>
    <t xml:space="preserve">Share of combined weight coming from sold or realised evidence.</t>
  </si>
  <si>
    <t xml:space="preserve">Price agreement</t>
  </si>
  <si>
    <t xml:space="preserve">100 minus coefficient of variation of adjusted prices, floored at zero.</t>
  </si>
  <si>
    <t xml:space="preserve">Total weight</t>
  </si>
  <si>
    <t xml:space="preserve">Confidence label</t>
  </si>
  <si>
    <t xml:space="preserve">Score band</t>
  </si>
  <si>
    <t xml:space="preserve">High</t>
  </si>
  <si>
    <t xml:space="preserve">75 and above</t>
  </si>
  <si>
    <t xml:space="preserve">Medium</t>
  </si>
  <si>
    <t xml:space="preserve">50 to 74</t>
  </si>
  <si>
    <t xml:space="preserve">Low</t>
  </si>
  <si>
    <t xml:space="preserve">25 to 49</t>
  </si>
  <si>
    <t xml:space="preserve">Insufficient</t>
  </si>
  <si>
    <t xml:space="preserve">Below 25, or minimum evidence not met</t>
  </si>
  <si>
    <t xml:space="preserve">Opportunity score for triage (0 to 100)</t>
  </si>
  <si>
    <t xml:space="preserve">Headroom</t>
  </si>
  <si>
    <t xml:space="preserve">Rough target bid minus current bid (or starting bid), divided by rough target bid.</t>
  </si>
  <si>
    <t xml:space="preserve">Score</t>
  </si>
  <si>
    <t xml:space="preserve">Headroom multiplied by triage confidence factor (High 1.0, Medium 0.75, Low 0.5), scaled to 0 to 100 and capped. Lots with a negative headroom score zero.</t>
  </si>
  <si>
    <t xml:space="preserve">Tie break</t>
  </si>
  <si>
    <t xml:space="preserve">Higher absolute dollar headroom ranks first.</t>
  </si>
  <si>
    <t xml:space="preserve">Cost Field Specification</t>
  </si>
  <si>
    <t xml:space="preserve">Field</t>
  </si>
  <si>
    <t xml:space="preserve">Source</t>
  </si>
  <si>
    <t xml:space="preserve">Default</t>
  </si>
  <si>
    <t xml:space="preserve">Editable per lot</t>
  </si>
  <si>
    <t xml:space="preserve">GST treatment</t>
  </si>
  <si>
    <t xml:space="preserve">Expected resale price</t>
  </si>
  <si>
    <t xml:space="preserve">System (scenario), editable</t>
  </si>
  <si>
    <t xml:space="preserve">Selected scenario</t>
  </si>
  <si>
    <t xml:space="preserve">Entered GST inclusive. Registered users net off GST.</t>
  </si>
  <si>
    <t xml:space="preserve">Hammer price</t>
  </si>
  <si>
    <t xml:space="preserve">User or slider</t>
  </si>
  <si>
    <t xml:space="preserve">Target bid</t>
  </si>
  <si>
    <t xml:space="preserve">GST added when the auction terms say the lot attracts GST.</t>
  </si>
  <si>
    <t xml:space="preserve">Buyer's premium rate</t>
  </si>
  <si>
    <t xml:space="preserve">Extracted from auction terms</t>
  </si>
  <si>
    <t xml:space="preserve">Platform default fallback</t>
  </si>
  <si>
    <t xml:space="preserve">Usually attracts GST. Flag editable.</t>
  </si>
  <si>
    <t xml:space="preserve">GST on hammer</t>
  </si>
  <si>
    <t xml:space="preserve">Extracted</t>
  </si>
  <si>
    <t xml:space="preserve">From auction terms</t>
  </si>
  <si>
    <t xml:space="preserve">Creditable for registered users.</t>
  </si>
  <si>
    <t xml:space="preserve">GST on premium</t>
  </si>
  <si>
    <t xml:space="preserve">Distance estimate</t>
  </si>
  <si>
    <t xml:space="preserve">Rate per km and base fee by size class from cost profile</t>
  </si>
  <si>
    <t xml:space="preserve">Entered GST inclusive.</t>
  </si>
  <si>
    <t xml:space="preserve">Removal or crane</t>
  </si>
  <si>
    <t xml:space="preserve">User</t>
  </si>
  <si>
    <t xml:space="preserve">Cost profile</t>
  </si>
  <si>
    <t xml:space="preserve">Repairs</t>
  </si>
  <si>
    <t xml:space="preserve">Cost profile, dollars or percentage of resale</t>
  </si>
  <si>
    <t xml:space="preserve">Replacement parts</t>
  </si>
  <si>
    <t xml:space="preserve">Zero</t>
  </si>
  <si>
    <t xml:space="preserve">Testing or certification</t>
  </si>
  <si>
    <t xml:space="preserve">Cleaning and preparation</t>
  </si>
  <si>
    <t xml:space="preserve">Storage</t>
  </si>
  <si>
    <t xml:space="preserve">User (manual by decision D24)</t>
  </si>
  <si>
    <t xml:space="preserve">Blank with warning flag</t>
  </si>
  <si>
    <t xml:space="preserve">Other costs</t>
  </si>
  <si>
    <t xml:space="preserve">Profile default, dollars or percentage</t>
  </si>
  <si>
    <t xml:space="preserve">Not a cost. Drives target bid.</t>
  </si>
  <si>
    <t xml:space="preserve">Minimum acceptable profit</t>
  </si>
  <si>
    <t xml:space="preserve">Profile default</t>
  </si>
  <si>
    <t xml:space="preserve">Drives absolute maximum bid.</t>
  </si>
  <si>
    <t xml:space="preserve">Profit and Bid Calculator</t>
  </si>
  <si>
    <t xml:space="preserve">Working model of the bid engine. Change the yellow cells. Example values are illustrative only.</t>
  </si>
  <si>
    <t xml:space="preserve">Settings (from user profile and lot)</t>
  </si>
  <si>
    <t xml:space="preserve">Bid sensitivity (slider preview)</t>
  </si>
  <si>
    <t xml:space="preserve">GST registered</t>
  </si>
  <si>
    <t xml:space="preserve">Profile setting. Yes or No.</t>
  </si>
  <si>
    <t xml:space="preserve">% of target</t>
  </si>
  <si>
    <t xml:space="preserve">Hammer bid</t>
  </si>
  <si>
    <t xml:space="preserve">Effective acquisition cost</t>
  </si>
  <si>
    <t xml:space="preserve">Estimated profit</t>
  </si>
  <si>
    <t xml:space="preserve">Return on cost</t>
  </si>
  <si>
    <t xml:space="preserve">Zone</t>
  </si>
  <si>
    <t xml:space="preserve">GST rate</t>
  </si>
  <si>
    <t xml:space="preserve">Australian GST.</t>
  </si>
  <si>
    <t xml:space="preserve">Resale scenario</t>
  </si>
  <si>
    <t xml:space="preserve">Conservative</t>
  </si>
  <si>
    <t xml:space="preserve">Conservative, Expected or Optimistic.</t>
  </si>
  <si>
    <t xml:space="preserve">Profit target type</t>
  </si>
  <si>
    <t xml:space="preserve">$</t>
  </si>
  <si>
    <t xml:space="preserve">$ for dollars or % for return on cost.</t>
  </si>
  <si>
    <t xml:space="preserve">Target profit ($)</t>
  </si>
  <si>
    <t xml:space="preserve">Used when type is $.</t>
  </si>
  <si>
    <t xml:space="preserve">Target return on cost (%)</t>
  </si>
  <si>
    <t xml:space="preserve">Used when type is %.</t>
  </si>
  <si>
    <t xml:space="preserve">Minimum acceptable profit ($)</t>
  </si>
  <si>
    <t xml:space="preserve">Drives absolute maximum when type is $.</t>
  </si>
  <si>
    <t xml:space="preserve">Minimum acceptable return (%)</t>
  </si>
  <si>
    <t xml:space="preserve">Drives absolute maximum when type is %.</t>
  </si>
  <si>
    <t xml:space="preserve">Resale evidence (GST inclusive prices)</t>
  </si>
  <si>
    <t xml:space="preserve">System value from tab 08 logic.</t>
  </si>
  <si>
    <t xml:space="preserve">Zones: Green meets the profit target. Amber is profitable but below target. Red is break even or a loss.</t>
  </si>
  <si>
    <t xml:space="preserve">In the app the slider is continuous. This table previews the same maths at fixed steps.</t>
  </si>
  <si>
    <t xml:space="preserve">Resale price includes GST</t>
  </si>
  <si>
    <t xml:space="preserve">Yes if the price the item sells for includes GST.</t>
  </si>
  <si>
    <t xml:space="preserve">Selected resale price</t>
  </si>
  <si>
    <t xml:space="preserve">Net resale used for profit</t>
  </si>
  <si>
    <t xml:space="preserve">Registered users remit GST on the sale, so profit uses the GST exclusive amount.</t>
  </si>
  <si>
    <t xml:space="preserve">Auction charges (extracted from auction terms)</t>
  </si>
  <si>
    <t xml:space="preserve">Example only. Real rate extracted per auction.</t>
  </si>
  <si>
    <t xml:space="preserve">GST applies to hammer price</t>
  </si>
  <si>
    <t xml:space="preserve">GST applies to buyer's premium</t>
  </si>
  <si>
    <t xml:space="preserve">Other costs (enter GST inclusive amounts)</t>
  </si>
  <si>
    <t xml:space="preserve">Transport (estimate)</t>
  </si>
  <si>
    <t xml:space="preserve">Other</t>
  </si>
  <si>
    <t xml:space="preserve">Total other costs</t>
  </si>
  <si>
    <t xml:space="preserve">Other costs include GST</t>
  </si>
  <si>
    <t xml:space="preserve">Registered users can claim credits on GST inclusive costs.</t>
  </si>
  <si>
    <t xml:space="preserve">Effective other costs</t>
  </si>
  <si>
    <t xml:space="preserve">Cost per dollar of hammer price</t>
  </si>
  <si>
    <t xml:space="preserve">Hammer cost factor</t>
  </si>
  <si>
    <t xml:space="preserve">Unregistered buyers bear the GST as a real cost.</t>
  </si>
  <si>
    <t xml:space="preserve">Premium cost factor</t>
  </si>
  <si>
    <t xml:space="preserve">Effective cost per $1 of hammer</t>
  </si>
  <si>
    <t xml:space="preserve">Target hammer bid (Most I Would Pay)</t>
  </si>
  <si>
    <t xml:space="preserve">Achieves the target profit on the selected scenario.</t>
  </si>
  <si>
    <t xml:space="preserve">Absolute maximum hammer bid</t>
  </si>
  <si>
    <t xml:space="preserve">Achieves the minimum acceptable profit.</t>
  </si>
  <si>
    <t xml:space="preserve">Break even hammer bid</t>
  </si>
  <si>
    <t xml:space="preserve">Zero profit. Never cross this.</t>
  </si>
  <si>
    <t xml:space="preserve">Position at the target bid</t>
  </si>
  <si>
    <t xml:space="preserve">Cash required to complete purchase</t>
  </si>
  <si>
    <t xml:space="preserve">Includes all GST paid.</t>
  </si>
  <si>
    <t xml:space="preserve">Estimated GST credits</t>
  </si>
  <si>
    <t xml:space="preserve">Selling fee check</t>
  </si>
  <si>
    <t xml:space="preserve">Optimism check</t>
  </si>
  <si>
    <t xml:space="preserve">Data Sources</t>
  </si>
  <si>
    <t xml:space="preserve">Check each source's current terms and API access before build. Cost values are estimates.</t>
  </si>
  <si>
    <t xml:space="preserve">Role</t>
  </si>
  <si>
    <t xml:space="preserve">Access method</t>
  </si>
  <si>
    <t xml:space="preserve">Data obtained</t>
  </si>
  <si>
    <t xml:space="preserve">Terms and risk notes</t>
  </si>
  <si>
    <t xml:space="preserve">Legal risk</t>
  </si>
  <si>
    <t xml:space="preserve">Fallback</t>
  </si>
  <si>
    <t xml:space="preserve">Grays</t>
  </si>
  <si>
    <t xml:space="preserve">Auction catalogue</t>
  </si>
  <si>
    <t xml:space="preserve">Managed extraction (Firecrawl or Browserbase)</t>
  </si>
  <si>
    <t xml:space="preserve">Lots, photos, descriptions, location, closing time, current bid, premium terms</t>
  </si>
  <si>
    <t xml:space="preserve">Review terms. Public pages only, rate limited.</t>
  </si>
  <si>
    <t xml:space="preserve">Pickles</t>
  </si>
  <si>
    <t xml:space="preserve">Managed extraction</t>
  </si>
  <si>
    <t xml:space="preserve">As above</t>
  </si>
  <si>
    <t xml:space="preserve">Lloyds</t>
  </si>
  <si>
    <t xml:space="preserve">Auction PDF catalogues</t>
  </si>
  <si>
    <t xml:space="preserve">PDF text extraction with OCR fallback, then Claude structuring</t>
  </si>
  <si>
    <t xml:space="preserve">Lots and descriptions. Photos where embedded.</t>
  </si>
  <si>
    <t xml:space="preserve">User supplied. Low risk.</t>
  </si>
  <si>
    <t xml:space="preserve">Manual lot entry</t>
  </si>
  <si>
    <t xml:space="preserve">Past auction results</t>
  </si>
  <si>
    <t xml:space="preserve">Sold evidence</t>
  </si>
  <si>
    <t xml:space="preserve">Managed extraction of published results pages where available</t>
  </si>
  <si>
    <t xml:space="preserve">Realised hammer prices</t>
  </si>
  <si>
    <t xml:space="preserve">Review terms per site.</t>
  </si>
  <si>
    <t xml:space="preserve">Internal outcomes</t>
  </si>
  <si>
    <t xml:space="preserve">eBay Browse API</t>
  </si>
  <si>
    <t xml:space="preserve">Advertised evidence</t>
  </si>
  <si>
    <t xml:space="preserve">Official API</t>
  </si>
  <si>
    <t xml:space="preserve">Active listings, price, condition, location</t>
  </si>
  <si>
    <t xml:space="preserve">Official API terms. Low risk.</t>
  </si>
  <si>
    <t xml:space="preserve">Web search API</t>
  </si>
  <si>
    <t xml:space="preserve">eBay Marketplace Insights API</t>
  </si>
  <si>
    <t xml:space="preserve">Official API, restricted access</t>
  </si>
  <si>
    <t xml:space="preserve">Sold prices</t>
  </si>
  <si>
    <t xml:space="preserve">Requires eBay approval. Apply early.</t>
  </si>
  <si>
    <t xml:space="preserve">Auction results and internal outcomes</t>
  </si>
  <si>
    <t xml:space="preserve">Web search API (Brave or SerpAPI)</t>
  </si>
  <si>
    <t xml:space="preserve">Discovery</t>
  </si>
  <si>
    <t xml:space="preserve">Retailer and dealer pages, new prices, specification pages</t>
  </si>
  <si>
    <t xml:space="preserve">Official API terms.</t>
  </si>
  <si>
    <t xml:space="preserve">Alternative search provider</t>
  </si>
  <si>
    <t xml:space="preserve">Retailer and dealer pages</t>
  </si>
  <si>
    <t xml:space="preserve">Advertised and new price evidence</t>
  </si>
  <si>
    <t xml:space="preserve">Fetch pages found through search, extract price and specs with Claude</t>
  </si>
  <si>
    <t xml:space="preserve">Advertised price, new price, specifications</t>
  </si>
  <si>
    <t xml:space="preserve">Respect robots and terms. Cache seven days.</t>
  </si>
  <si>
    <t xml:space="preserve">Search snippet only, lower weight</t>
  </si>
  <si>
    <t xml:space="preserve">Manufacturer sites</t>
  </si>
  <si>
    <t xml:space="preserve">Specification and new price</t>
  </si>
  <si>
    <t xml:space="preserve">Fetch via search results</t>
  </si>
  <si>
    <t xml:space="preserve">Specs, RRP, model history</t>
  </si>
  <si>
    <t xml:space="preserve">Mark new price not found</t>
  </si>
  <si>
    <t xml:space="preserve">Our own database</t>
  </si>
  <si>
    <t xml:space="preserve">Actual hammer and resale prices recorded by users</t>
  </si>
  <si>
    <t xml:space="preserve">Our data. Privacy policy must cover use.</t>
  </si>
  <si>
    <t xml:space="preserve">None needed</t>
  </si>
  <si>
    <t xml:space="preserve">Internal comparables history</t>
  </si>
  <si>
    <t xml:space="preserve">All evidence</t>
  </si>
  <si>
    <t xml:space="preserve">Every comparable seen, with price snapshots over time</t>
  </si>
  <si>
    <t xml:space="preserve">Our data derived from public sources.</t>
  </si>
  <si>
    <t xml:space="preserve">Routing API (Google Routes or Mapbox)</t>
  </si>
  <si>
    <t xml:space="preserve">Road distance between user base and lot location</t>
  </si>
  <si>
    <t xml:space="preserve">Straight line distance with uplift factor</t>
  </si>
  <si>
    <t xml:space="preserve">Processing Pipeline</t>
  </si>
  <si>
    <t xml:space="preserve">Each stage is an Inngest or Trigger.dev function. Lots fan out as independent steps.</t>
  </si>
  <si>
    <t xml:space="preserve">Trigger</t>
  </si>
  <si>
    <t xml:space="preserve">Work performed</t>
  </si>
  <si>
    <t xml:space="preserve">AI usage</t>
  </si>
  <si>
    <t xml:space="preserve">Writes to</t>
  </si>
  <si>
    <t xml:space="preserve">Typical duration</t>
  </si>
  <si>
    <t xml:space="preserve">S1</t>
  </si>
  <si>
    <t xml:space="preserve">Ingest</t>
  </si>
  <si>
    <t xml:space="preserve">User submits URL or PDF</t>
  </si>
  <si>
    <t xml:space="preserve">Detect platform, create auction and analysis records, check triage allowance</t>
  </si>
  <si>
    <t xml:space="preserve">auction, analysis</t>
  </si>
  <si>
    <t xml:space="preserve">Seconds</t>
  </si>
  <si>
    <t xml:space="preserve">S2</t>
  </si>
  <si>
    <t xml:space="preserve">S1 complete</t>
  </si>
  <si>
    <t xml:space="preserve">Fetch catalogue pages or parse PDF. Paginate. Store raw payload.</t>
  </si>
  <si>
    <t xml:space="preserve">Claude for PDF structuring only</t>
  </si>
  <si>
    <t xml:space="preserve">raw_extract</t>
  </si>
  <si>
    <t xml:space="preserve">1 to 5 min</t>
  </si>
  <si>
    <t xml:space="preserve">S3</t>
  </si>
  <si>
    <t xml:space="preserve">Normalise</t>
  </si>
  <si>
    <t xml:space="preserve">S2 complete</t>
  </si>
  <si>
    <t xml:space="preserve">Map to lot records. Download primary photo references. Parse premium and GST terms.</t>
  </si>
  <si>
    <t xml:space="preserve">Claude for premium terms parsing</t>
  </si>
  <si>
    <t xml:space="preserve">lot, lot_image, premium rule</t>
  </si>
  <si>
    <t xml:space="preserve">Under 1 min</t>
  </si>
  <si>
    <t xml:space="preserve">S4</t>
  </si>
  <si>
    <t xml:space="preserve">Triage identify</t>
  </si>
  <si>
    <t xml:space="preserve">Per lot</t>
  </si>
  <si>
    <t xml:space="preserve">Classify category and product type from text and primary photo.</t>
  </si>
  <si>
    <t xml:space="preserve">Small model (Claude Haiku class)</t>
  </si>
  <si>
    <t xml:space="preserve">lot_identification (triage)</t>
  </si>
  <si>
    <t xml:space="preserve">Parallel</t>
  </si>
  <si>
    <t xml:space="preserve">S5</t>
  </si>
  <si>
    <t xml:space="preserve">Triage value</t>
  </si>
  <si>
    <t xml:space="preserve">One search pass plus internal history lookup. Rough resale range.</t>
  </si>
  <si>
    <t xml:space="preserve">Small model to read results</t>
  </si>
  <si>
    <t xml:space="preserve">triage_valuation</t>
  </si>
  <si>
    <t xml:space="preserve">S6</t>
  </si>
  <si>
    <t xml:space="preserve">Rank and notify</t>
  </si>
  <si>
    <t xml:space="preserve">All lots complete</t>
  </si>
  <si>
    <t xml:space="preserve">Rough max bid with the selected cost profile, opportunity score, email user.</t>
  </si>
  <si>
    <t xml:space="preserve">Updated lots, notification</t>
  </si>
  <si>
    <t xml:space="preserve">S7</t>
  </si>
  <si>
    <t xml:space="preserve">Shortlist</t>
  </si>
  <si>
    <t xml:space="preserve">User confirms selection</t>
  </si>
  <si>
    <t xml:space="preserve">Reserve credits in ledger, queue deep jobs.</t>
  </si>
  <si>
    <t xml:space="preserve">credit_ledger entries</t>
  </si>
  <si>
    <t xml:space="preserve">S8</t>
  </si>
  <si>
    <t xml:space="preserve">Deep identify</t>
  </si>
  <si>
    <t xml:space="preserve">Per shortlisted lot</t>
  </si>
  <si>
    <t xml:space="preserve">Read all photos including plates. Extract brand, model, year, specs, condition notes.</t>
  </si>
  <si>
    <t xml:space="preserve">Large model (Claude Sonnet class) with vision</t>
  </si>
  <si>
    <t xml:space="preserve">lot_identification (deep)</t>
  </si>
  <si>
    <t xml:space="preserve">S8A</t>
  </si>
  <si>
    <t xml:space="preserve">Enrich</t>
  </si>
  <si>
    <t xml:space="preserve">S8 complete and item identified</t>
  </si>
  <si>
    <t xml:space="preserve">Search manufacturer, dealer and specification sources for the identified model. Build field list with source class. Detect conflicts with the auctioneer description and photos.</t>
  </si>
  <si>
    <t xml:space="preserve">Large model to read and reconcile specification pages</t>
  </si>
  <si>
    <t xml:space="preserve">lot_spec_fields, product_spec_sources</t>
  </si>
  <si>
    <t xml:space="preserve">S9</t>
  </si>
  <si>
    <t xml:space="preserve">S8A complete</t>
  </si>
  <si>
    <t xml:space="preserve">Query eBay, search API, internal history and auction results. Fetch candidate pages.</t>
  </si>
  <si>
    <t xml:space="preserve">Small model to generate queries</t>
  </si>
  <si>
    <t xml:space="preserve">comparable, comparable_snapshot</t>
  </si>
  <si>
    <t xml:space="preserve">S10</t>
  </si>
  <si>
    <t xml:space="preserve">S9 complete</t>
  </si>
  <si>
    <t xml:space="preserve">Assign match level, reason, differences and price adjustment to each comparable.</t>
  </si>
  <si>
    <t xml:space="preserve">Large model</t>
  </si>
  <si>
    <t xml:space="preserve">lot_comparable</t>
  </si>
  <si>
    <t xml:space="preserve">S11</t>
  </si>
  <si>
    <t xml:space="preserve">S10 complete</t>
  </si>
  <si>
    <t xml:space="preserve">Apply weights, compute scenarios and confidence score.</t>
  </si>
  <si>
    <t xml:space="preserve">None (deterministic code)</t>
  </si>
  <si>
    <t xml:space="preserve">valuation</t>
  </si>
  <si>
    <t xml:space="preserve">S12</t>
  </si>
  <si>
    <t xml:space="preserve">Costs and bids</t>
  </si>
  <si>
    <t xml:space="preserve">S11 complete</t>
  </si>
  <si>
    <t xml:space="preserve">Apply cost profile, transport estimate and GST to compute bid limits.</t>
  </si>
  <si>
    <t xml:space="preserve">lot_costs</t>
  </si>
  <si>
    <t xml:space="preserve">S13</t>
  </si>
  <si>
    <t xml:space="preserve">Finalise</t>
  </si>
  <si>
    <t xml:space="preserve">All shortlisted lots complete</t>
  </si>
  <si>
    <t xml:space="preserve">Settle credits, notify user, log cost per job.</t>
  </si>
  <si>
    <t xml:space="preserve">usage_event, notification</t>
  </si>
  <si>
    <t xml:space="preserve">S14</t>
  </si>
  <si>
    <t xml:space="preserve">Revalue on correction</t>
  </si>
  <si>
    <t xml:space="preserve">User edits identification</t>
  </si>
  <si>
    <t xml:space="preserve">Rerun S9 to S12 for that lot. Reuse cached comparables where valid.</t>
  </si>
  <si>
    <t xml:space="preserve">As S9 and S10</t>
  </si>
  <si>
    <t xml:space="preserve">New valuation version</t>
  </si>
  <si>
    <t xml:space="preserve">1 to 2 min</t>
  </si>
  <si>
    <t xml:space="preserve">S15</t>
  </si>
  <si>
    <t xml:space="preserve">Closing alerts</t>
  </si>
  <si>
    <t xml:space="preserve">Scheduled</t>
  </si>
  <si>
    <t xml:space="preserve">Find watchlisted lots closing within the user's window and send alerts.</t>
  </si>
  <si>
    <t xml:space="preserve">notification</t>
  </si>
  <si>
    <t xml:space="preserve">Every 5 min</t>
  </si>
  <si>
    <t xml:space="preserve">Design rules</t>
  </si>
  <si>
    <t xml:space="preserve">AI is used for reading, identifying and grading. All money maths is deterministic code, never AI. Every AI output is stored with the model name, prompt version and cost so results are reproducible and auditable.</t>
  </si>
  <si>
    <t xml:space="preserve">Database Schema (Supabase Postgres)</t>
  </si>
  <si>
    <t xml:space="preserve">All tables have created_at and updated_at timestamptz unless noted. Organisation scoped tables carry org_id for RLS.</t>
  </si>
  <si>
    <t xml:space="preserve">Table</t>
  </si>
  <si>
    <t xml:space="preserve">Column</t>
  </si>
  <si>
    <t xml:space="preserve">Type</t>
  </si>
  <si>
    <t xml:space="preserve">Nullable</t>
  </si>
  <si>
    <t xml:space="preserve">Keys</t>
  </si>
  <si>
    <t xml:space="preserve">Notes</t>
  </si>
  <si>
    <t xml:space="preserve">organisations</t>
  </si>
  <si>
    <t xml:space="preserve">Tenant. Everything belongs to an organisation.</t>
  </si>
  <si>
    <t xml:space="preserve">id</t>
  </si>
  <si>
    <t xml:space="preserve">uuid</t>
  </si>
  <si>
    <t xml:space="preserve">PK</t>
  </si>
  <si>
    <t xml:space="preserve">Default gen_random_uuid()</t>
  </si>
  <si>
    <t xml:space="preserve">name</t>
  </si>
  <si>
    <t xml:space="preserve">text</t>
  </si>
  <si>
    <t xml:space="preserve">plan</t>
  </si>
  <si>
    <t xml:space="preserve">free, starter, pro, dealer, internal</t>
  </si>
  <si>
    <t xml:space="preserve">stripe_customer_id</t>
  </si>
  <si>
    <t xml:space="preserve">Phase 2</t>
  </si>
  <si>
    <t xml:space="preserve">gst_registered</t>
  </si>
  <si>
    <t xml:space="preserve">boolean</t>
  </si>
  <si>
    <t xml:space="preserve">Organisation level default</t>
  </si>
  <si>
    <t xml:space="preserve">base_address</t>
  </si>
  <si>
    <t xml:space="preserve">Used for transport estimates</t>
  </si>
  <si>
    <t xml:space="preserve">base_lat</t>
  </si>
  <si>
    <t xml:space="preserve">numeric</t>
  </si>
  <si>
    <t xml:space="preserve">base_lng</t>
  </si>
  <si>
    <t xml:space="preserve">profiles</t>
  </si>
  <si>
    <t xml:space="preserve">One row per auth user.</t>
  </si>
  <si>
    <t xml:space="preserve">PK, FK auth.users</t>
  </si>
  <si>
    <t xml:space="preserve">full_name</t>
  </si>
  <si>
    <t xml:space="preserve">default_org_id</t>
  </si>
  <si>
    <t xml:space="preserve">FK organisations</t>
  </si>
  <si>
    <t xml:space="preserve">alert_lead_minutes</t>
  </si>
  <si>
    <t xml:space="preserve">integer</t>
  </si>
  <si>
    <t xml:space="preserve">Default 30</t>
  </si>
  <si>
    <t xml:space="preserve">organisation_members</t>
  </si>
  <si>
    <t xml:space="preserve">Membership and role.</t>
  </si>
  <si>
    <t xml:space="preserve">org_id</t>
  </si>
  <si>
    <t xml:space="preserve">PK, FK organisations</t>
  </si>
  <si>
    <t xml:space="preserve">user_id</t>
  </si>
  <si>
    <t xml:space="preserve">PK, FK profiles</t>
  </si>
  <si>
    <t xml:space="preserve">role</t>
  </si>
  <si>
    <t xml:space="preserve">owner, admin, buyer, viewer</t>
  </si>
  <si>
    <t xml:space="preserve">cost_profiles</t>
  </si>
  <si>
    <t xml:space="preserve">Saved default cost assumptions.</t>
  </si>
  <si>
    <t xml:space="preserve">For example Machinery</t>
  </si>
  <si>
    <t xml:space="preserve">is_default</t>
  </si>
  <si>
    <t xml:space="preserve">profit_mode</t>
  </si>
  <si>
    <t xml:space="preserve">dollars or percent</t>
  </si>
  <si>
    <t xml:space="preserve">target_profit_amount</t>
  </si>
  <si>
    <t xml:space="preserve">numeric(12,2)</t>
  </si>
  <si>
    <t xml:space="preserve">target_return_pct</t>
  </si>
  <si>
    <t xml:space="preserve">numeric(6,4)</t>
  </si>
  <si>
    <t xml:space="preserve">min_profit_amount</t>
  </si>
  <si>
    <t xml:space="preserve">min_return_pct</t>
  </si>
  <si>
    <t xml:space="preserve">transport_base_fee</t>
  </si>
  <si>
    <t xml:space="preserve">transport_rate_per_km</t>
  </si>
  <si>
    <t xml:space="preserve">numeric(8,2)</t>
  </si>
  <si>
    <t xml:space="preserve">repair_mode</t>
  </si>
  <si>
    <t xml:space="preserve">dollars or percent_of_resale</t>
  </si>
  <si>
    <t xml:space="preserve">repair_value</t>
  </si>
  <si>
    <t xml:space="preserve">numeric(12,4)</t>
  </si>
  <si>
    <t xml:space="preserve">defaults</t>
  </si>
  <si>
    <t xml:space="preserve">jsonb</t>
  </si>
  <si>
    <t xml:space="preserve">Other line item defaults keyed by cost field</t>
  </si>
  <si>
    <t xml:space="preserve">categories</t>
  </si>
  <si>
    <t xml:space="preserve">Category tree and category specific rules.</t>
  </si>
  <si>
    <t xml:space="preserve">parent_id</t>
  </si>
  <si>
    <t xml:space="preserve">FK categories</t>
  </si>
  <si>
    <t xml:space="preserve">asking_discount_pct</t>
  </si>
  <si>
    <t xml:space="preserve">Default 0.10</t>
  </si>
  <si>
    <t xml:space="preserve">valuation_rules</t>
  </si>
  <si>
    <t xml:space="preserve">Category specific rules added progressively</t>
  </si>
  <si>
    <t xml:space="preserve">auction_platforms</t>
  </si>
  <si>
    <t xml:space="preserve">Supported auction houses.</t>
  </si>
  <si>
    <t xml:space="preserve">slug</t>
  </si>
  <si>
    <t xml:space="preserve">Unique</t>
  </si>
  <si>
    <t xml:space="preserve">grays, pickles, lloyds, pdf</t>
  </si>
  <si>
    <t xml:space="preserve">url_patterns</t>
  </si>
  <si>
    <t xml:space="preserve">text[]</t>
  </si>
  <si>
    <t xml:space="preserve">For platform detection</t>
  </si>
  <si>
    <t xml:space="preserve">default_premium_pct</t>
  </si>
  <si>
    <t xml:space="preserve">Fallback only</t>
  </si>
  <si>
    <t xml:space="preserve">default_premium_gst</t>
  </si>
  <si>
    <t xml:space="preserve">extractor_version</t>
  </si>
  <si>
    <t xml:space="preserve">is_active</t>
  </si>
  <si>
    <t xml:space="preserve">auctions</t>
  </si>
  <si>
    <t xml:space="preserve">One auction event. Shared across organisations to avoid duplicate extraction.</t>
  </si>
  <si>
    <t xml:space="preserve">platform_id</t>
  </si>
  <si>
    <t xml:space="preserve">FK auction_platforms</t>
  </si>
  <si>
    <t xml:space="preserve">source_url</t>
  </si>
  <si>
    <t xml:space="preserve">Unique with platform</t>
  </si>
  <si>
    <t xml:space="preserve">Null for PDF uploads</t>
  </si>
  <si>
    <t xml:space="preserve">title</t>
  </si>
  <si>
    <t xml:space="preserve">closes_at</t>
  </si>
  <si>
    <t xml:space="preserve">timestamptz</t>
  </si>
  <si>
    <t xml:space="preserve">location_text</t>
  </si>
  <si>
    <t xml:space="preserve">premium_pct</t>
  </si>
  <si>
    <t xml:space="preserve">Extracted from terms</t>
  </si>
  <si>
    <t xml:space="preserve">premium_gst</t>
  </si>
  <si>
    <t xml:space="preserve">premium_source</t>
  </si>
  <si>
    <t xml:space="preserve">extracted, platform_default, user</t>
  </si>
  <si>
    <t xml:space="preserve">raw_terms</t>
  </si>
  <si>
    <t xml:space="preserve">extracted_at</t>
  </si>
  <si>
    <t xml:space="preserve">analyses</t>
  </si>
  <si>
    <t xml:space="preserve">An organisation's analysis of an auction.</t>
  </si>
  <si>
    <t xml:space="preserve">auction_id</t>
  </si>
  <si>
    <t xml:space="preserve">FK auctions</t>
  </si>
  <si>
    <t xml:space="preserve">created_by</t>
  </si>
  <si>
    <t xml:space="preserve">FK profiles</t>
  </si>
  <si>
    <t xml:space="preserve">cost_profile_id</t>
  </si>
  <si>
    <t xml:space="preserve">FK cost_profiles</t>
  </si>
  <si>
    <t xml:space="preserve">source_type</t>
  </si>
  <si>
    <t xml:space="preserve">url or pdf</t>
  </si>
  <si>
    <t xml:space="preserve">pdf_path</t>
  </si>
  <si>
    <t xml:space="preserve">Supabase Storage path</t>
  </si>
  <si>
    <t xml:space="preserve">status</t>
  </si>
  <si>
    <t xml:space="preserve">queued, extracting, triaging, triaged, deep_running, complete, failed</t>
  </si>
  <si>
    <t xml:space="preserve">progress_pct</t>
  </si>
  <si>
    <t xml:space="preserve">premium_override_pct</t>
  </si>
  <si>
    <t xml:space="preserve">User edit</t>
  </si>
  <si>
    <t xml:space="preserve">lots</t>
  </si>
  <si>
    <t xml:space="preserve">Lots within an auction. Shared, not organisation scoped.</t>
  </si>
  <si>
    <t xml:space="preserve">lot_number</t>
  </si>
  <si>
    <t xml:space="preserve">Unique with auction</t>
  </si>
  <si>
    <t xml:space="preserve">description</t>
  </si>
  <si>
    <t xml:space="preserve">lat</t>
  </si>
  <si>
    <t xml:space="preserve">lng</t>
  </si>
  <si>
    <t xml:space="preserve">current_bid</t>
  </si>
  <si>
    <t xml:space="preserve">Updated on refresh</t>
  </si>
  <si>
    <t xml:space="preserve">gst_on_hammer</t>
  </si>
  <si>
    <t xml:space="preserve">raw</t>
  </si>
  <si>
    <t xml:space="preserve">Original extracted payload</t>
  </si>
  <si>
    <t xml:space="preserve">lot_images</t>
  </si>
  <si>
    <t xml:space="preserve">Image references for vision. Not displayed to other users as comparables.</t>
  </si>
  <si>
    <t xml:space="preserve">lot_id</t>
  </si>
  <si>
    <t xml:space="preserve">FK lots</t>
  </si>
  <si>
    <t xml:space="preserve">url</t>
  </si>
  <si>
    <t xml:space="preserve">position</t>
  </si>
  <si>
    <t xml:space="preserve">products</t>
  </si>
  <si>
    <t xml:space="preserve">Canonical product catalogue built over time.</t>
  </si>
  <si>
    <t xml:space="preserve">category_id</t>
  </si>
  <si>
    <t xml:space="preserve">brand</t>
  </si>
  <si>
    <t xml:space="preserve">model</t>
  </si>
  <si>
    <t xml:space="preserve">variant</t>
  </si>
  <si>
    <t xml:space="preserve">specs</t>
  </si>
  <si>
    <t xml:space="preserve">new_price</t>
  </si>
  <si>
    <t xml:space="preserve">new_price_source_url</t>
  </si>
  <si>
    <t xml:space="preserve">new_price_checked_at</t>
  </si>
  <si>
    <t xml:space="preserve">embedding</t>
  </si>
  <si>
    <t xml:space="preserve">vector(1536)</t>
  </si>
  <si>
    <t xml:space="preserve">pgvector for similarity matching</t>
  </si>
  <si>
    <t xml:space="preserve">product_aliases</t>
  </si>
  <si>
    <t xml:space="preserve">Alternative names and model codes.</t>
  </si>
  <si>
    <t xml:space="preserve">product_id</t>
  </si>
  <si>
    <t xml:space="preserve">FK products</t>
  </si>
  <si>
    <t xml:space="preserve">alias</t>
  </si>
  <si>
    <t xml:space="preserve">lot_identifications</t>
  </si>
  <si>
    <t xml:space="preserve">Versioned identification of a lot for an analysis.</t>
  </si>
  <si>
    <t xml:space="preserve">analysis_id</t>
  </si>
  <si>
    <t xml:space="preserve">FK analyses</t>
  </si>
  <si>
    <t xml:space="preserve">stage</t>
  </si>
  <si>
    <t xml:space="preserve">triage, deep, user</t>
  </si>
  <si>
    <t xml:space="preserve">year</t>
  </si>
  <si>
    <t xml:space="preserve">condition_notes</t>
  </si>
  <si>
    <t xml:space="preserve">confidence</t>
  </si>
  <si>
    <t xml:space="preserve">numeric(5,2)</t>
  </si>
  <si>
    <t xml:space="preserve">0 to 100</t>
  </si>
  <si>
    <t xml:space="preserve">is_current</t>
  </si>
  <si>
    <t xml:space="preserve">confirmed_by</t>
  </si>
  <si>
    <t xml:space="preserve">Set when user confirms</t>
  </si>
  <si>
    <t xml:space="preserve">ai_run_id</t>
  </si>
  <si>
    <t xml:space="preserve">FK ai_runs</t>
  </si>
  <si>
    <t xml:space="preserve">analysis_lots</t>
  </si>
  <si>
    <t xml:space="preserve">Per organisation state of each lot in an analysis.</t>
  </si>
  <si>
    <t xml:space="preserve">triaged, shortlisted, deep_running, valued, failed</t>
  </si>
  <si>
    <t xml:space="preserve">triage_low</t>
  </si>
  <si>
    <t xml:space="preserve">triage_high</t>
  </si>
  <si>
    <t xml:space="preserve">triage_max_bid</t>
  </si>
  <si>
    <t xml:space="preserve">opportunity_score</t>
  </si>
  <si>
    <t xml:space="preserve">is_watchlisted</t>
  </si>
  <si>
    <t xml:space="preserve">comparables</t>
  </si>
  <si>
    <t xml:space="preserve">Every comparable listing ever seen. Shared evidence library.</t>
  </si>
  <si>
    <t xml:space="preserve">auction_result, marketplace_sold, advertised_used, new_retail, outcome, user_supplied</t>
  </si>
  <si>
    <t xml:space="preserve">Null for shared evidence. Set for private user supplied comparables</t>
  </si>
  <si>
    <t xml:space="preserve">provenance</t>
  </si>
  <si>
    <t xml:space="preserve">verified, extracted, estimated, user_input</t>
  </si>
  <si>
    <t xml:space="preserve">source_name</t>
  </si>
  <si>
    <t xml:space="preserve">For example eBay</t>
  </si>
  <si>
    <t xml:space="preserve">summary</t>
  </si>
  <si>
    <t xml:space="preserve">Our text summary. No copied images.</t>
  </si>
  <si>
    <t xml:space="preserve">condition</t>
  </si>
  <si>
    <t xml:space="preserve">new, used, unknown</t>
  </si>
  <si>
    <t xml:space="preserve">features</t>
  </si>
  <si>
    <t xml:space="preserve">first_seen_at</t>
  </si>
  <si>
    <t xml:space="preserve">comparable_snapshots</t>
  </si>
  <si>
    <t xml:space="preserve">Price history per comparable. Builds the historical database.</t>
  </si>
  <si>
    <t xml:space="preserve">comparable_id</t>
  </si>
  <si>
    <t xml:space="preserve">FK comparables</t>
  </si>
  <si>
    <t xml:space="preserve">price</t>
  </si>
  <si>
    <t xml:space="preserve">price_includes_gst</t>
  </si>
  <si>
    <t xml:space="preserve">active, sold, ended</t>
  </si>
  <si>
    <t xml:space="preserve">checked_at</t>
  </si>
  <si>
    <t xml:space="preserve">Seven day cache key</t>
  </si>
  <si>
    <t xml:space="preserve">lot_comparables</t>
  </si>
  <si>
    <t xml:space="preserve">Match between a lot identification and a comparable.</t>
  </si>
  <si>
    <t xml:space="preserve">identification_id</t>
  </si>
  <si>
    <t xml:space="preserve">FK lot_identifications</t>
  </si>
  <si>
    <t xml:space="preserve">snapshot_id</t>
  </si>
  <si>
    <t xml:space="preserve">FK comparable_snapshots</t>
  </si>
  <si>
    <t xml:space="preserve">Price used</t>
  </si>
  <si>
    <t xml:space="preserve">match_level</t>
  </si>
  <si>
    <t xml:space="preserve">exact, near_exact, higher_spec, lower_spec, similar_alternative, insufficient</t>
  </si>
  <si>
    <t xml:space="preserve">reason</t>
  </si>
  <si>
    <t xml:space="preserve">Plain English explanation</t>
  </si>
  <si>
    <t xml:space="preserve">differences</t>
  </si>
  <si>
    <t xml:space="preserve">adjustment_pct</t>
  </si>
  <si>
    <t xml:space="preserve">adjusted_price</t>
  </si>
  <si>
    <t xml:space="preserve">weight</t>
  </si>
  <si>
    <t xml:space="preserve">Combined weight</t>
  </si>
  <si>
    <t xml:space="preserve">excluded_by_user</t>
  </si>
  <si>
    <t xml:space="preserve">User can exclude a comparable</t>
  </si>
  <si>
    <t xml:space="preserve">exclusion_reason</t>
  </si>
  <si>
    <t xml:space="preserve">Required when excluded</t>
  </si>
  <si>
    <t xml:space="preserve">excluded_by</t>
  </si>
  <si>
    <t xml:space="preserve">valuations</t>
  </si>
  <si>
    <t xml:space="preserve">Versioned valuation per lot per analysis.</t>
  </si>
  <si>
    <t xml:space="preserve">analysis_lot_id</t>
  </si>
  <si>
    <t xml:space="preserve">FK analysis_lots</t>
  </si>
  <si>
    <t xml:space="preserve">conservative</t>
  </si>
  <si>
    <t xml:space="preserve">expected</t>
  </si>
  <si>
    <t xml:space="preserve">optimistic</t>
  </si>
  <si>
    <t xml:space="preserve">cheapest_comparable_id</t>
  </si>
  <si>
    <t xml:space="preserve">FK lot_comparables</t>
  </si>
  <si>
    <t xml:space="preserve">confidence_score</t>
  </si>
  <si>
    <t xml:space="preserve">confidence_label</t>
  </si>
  <si>
    <t xml:space="preserve">high, medium, low, insufficient</t>
  </si>
  <si>
    <t xml:space="preserve">method_version</t>
  </si>
  <si>
    <t xml:space="preserve">FK method_versions</t>
  </si>
  <si>
    <t xml:space="preserve">Method version used. Old versions stay viewable</t>
  </si>
  <si>
    <t xml:space="preserve">User cost inputs and chosen settings per lot.</t>
  </si>
  <si>
    <t xml:space="preserve">PK, FK analysis_lots</t>
  </si>
  <si>
    <t xml:space="preserve">resale_scenario</t>
  </si>
  <si>
    <t xml:space="preserve">conservative, expected, optimistic</t>
  </si>
  <si>
    <t xml:space="preserve">resale_override</t>
  </si>
  <si>
    <t xml:space="preserve">Overrides auction value</t>
  </si>
  <si>
    <t xml:space="preserve">transport</t>
  </si>
  <si>
    <t xml:space="preserve">transport_km</t>
  </si>
  <si>
    <t xml:space="preserve">numeric(8,1)</t>
  </si>
  <si>
    <t xml:space="preserve">line_items</t>
  </si>
  <si>
    <t xml:space="preserve">Removal, repairs, parts, testing, cleaning, storage, selling fees, other</t>
  </si>
  <si>
    <t xml:space="preserve">target_value</t>
  </si>
  <si>
    <t xml:space="preserve">min_value</t>
  </si>
  <si>
    <t xml:space="preserve">proposed_bid</t>
  </si>
  <si>
    <t xml:space="preserve">Slider position</t>
  </si>
  <si>
    <t xml:space="preserve">outcomes</t>
  </si>
  <si>
    <t xml:space="preserve">What actually happened.</t>
  </si>
  <si>
    <t xml:space="preserve">result</t>
  </si>
  <si>
    <t xml:space="preserve">won, lost, not_bid, passed_in</t>
  </si>
  <si>
    <t xml:space="preserve">hammer_price</t>
  </si>
  <si>
    <t xml:space="preserve">actual_costs</t>
  </si>
  <si>
    <t xml:space="preserve">resale_price</t>
  </si>
  <si>
    <t xml:space="preserve">resale_channel</t>
  </si>
  <si>
    <t xml:space="preserve">sold_at</t>
  </si>
  <si>
    <t xml:space="preserve">date</t>
  </si>
  <si>
    <t xml:space="preserve">share_anonymised</t>
  </si>
  <si>
    <t xml:space="preserve">Consent to pooled use. Later phase.</t>
  </si>
  <si>
    <t xml:space="preserve">notifications</t>
  </si>
  <si>
    <t xml:space="preserve">Emails and push alerts.</t>
  </si>
  <si>
    <t xml:space="preserve">type</t>
  </si>
  <si>
    <t xml:space="preserve">triage_ready, deep_ready, closing_soon</t>
  </si>
  <si>
    <t xml:space="preserve">payload</t>
  </si>
  <si>
    <t xml:space="preserve">sent_at</t>
  </si>
  <si>
    <t xml:space="preserve">exports</t>
  </si>
  <si>
    <t xml:space="preserve">Generated bid sheets and CSVs.</t>
  </si>
  <si>
    <t xml:space="preserve">pdf_bid_sheet, csv</t>
  </si>
  <si>
    <t xml:space="preserve">storage_path</t>
  </si>
  <si>
    <t xml:space="preserve">credit_ledger</t>
  </si>
  <si>
    <t xml:space="preserve">Append only credit movements.</t>
  </si>
  <si>
    <t xml:space="preserve">delta</t>
  </si>
  <si>
    <t xml:space="preserve">Positive grant, negative use</t>
  </si>
  <si>
    <t xml:space="preserve">plan_grant, top_up, reserve, settle, refund</t>
  </si>
  <si>
    <t xml:space="preserve">reference_id</t>
  </si>
  <si>
    <t xml:space="preserve">Analysis or payment</t>
  </si>
  <si>
    <t xml:space="preserve">ai_runs</t>
  </si>
  <si>
    <t xml:space="preserve">Every AI call for audit and cost.</t>
  </si>
  <si>
    <t xml:space="preserve">prompt_version</t>
  </si>
  <si>
    <t xml:space="preserve">input_tokens</t>
  </si>
  <si>
    <t xml:space="preserve">output_tokens</t>
  </si>
  <si>
    <t xml:space="preserve">cost_usd</t>
  </si>
  <si>
    <t xml:space="preserve">numeric(10,5)</t>
  </si>
  <si>
    <t xml:space="preserve">Pipeline stage ID</t>
  </si>
  <si>
    <t xml:space="preserve">usage_events</t>
  </si>
  <si>
    <t xml:space="preserve">Non AI costs such as search, extraction and routing calls.</t>
  </si>
  <si>
    <t xml:space="preserve">provider</t>
  </si>
  <si>
    <t xml:space="preserve">units</t>
  </si>
  <si>
    <t xml:space="preserve">audit_log</t>
  </si>
  <si>
    <t xml:space="preserve">Changes to identifications, costs and settings.</t>
  </si>
  <si>
    <t xml:space="preserve">bigint</t>
  </si>
  <si>
    <t xml:space="preserve">PK identity</t>
  </si>
  <si>
    <t xml:space="preserve">entity</t>
  </si>
  <si>
    <t xml:space="preserve">entity_id</t>
  </si>
  <si>
    <t xml:space="preserve">change</t>
  </si>
  <si>
    <t xml:space="preserve">lot_spec_fields</t>
  </si>
  <si>
    <t xml:space="preserve">Enriched specification fields per lot identification.</t>
  </si>
  <si>
    <t xml:space="preserve">field</t>
  </si>
  <si>
    <t xml:space="preserve">For example max_panel_thickness, pre_milling</t>
  </si>
  <si>
    <t xml:space="preserve">label</t>
  </si>
  <si>
    <t xml:space="preserve">Display label</t>
  </si>
  <si>
    <t xml:space="preserve">value</t>
  </si>
  <si>
    <t xml:space="preserve">unit</t>
  </si>
  <si>
    <t xml:space="preserve">source_class</t>
  </si>
  <si>
    <t xml:space="preserve">model_spec, observed, auctioneer_stated, user_input, not_verified</t>
  </si>
  <si>
    <t xml:space="preserve">is_ai_generated</t>
  </si>
  <si>
    <t xml:space="preserve">is_option</t>
  </si>
  <si>
    <t xml:space="preserve">True for optional equipment</t>
  </si>
  <si>
    <t xml:space="preserve">option_status</t>
  </si>
  <si>
    <t xml:space="preserve">observed, stated, absent, not_verified</t>
  </si>
  <si>
    <t xml:space="preserve">conflict_group</t>
  </si>
  <si>
    <t xml:space="preserve">Shared by fields that disagree</t>
  </si>
  <si>
    <t xml:space="preserve">product_spec_sources</t>
  </si>
  <si>
    <t xml:space="preserve">Shared model specifications with their sources.</t>
  </si>
  <si>
    <t xml:space="preserve">manufacturer, dealer, spec_database, manual</t>
  </si>
  <si>
    <t xml:space="preserve">waitlist_signups</t>
  </si>
  <si>
    <t xml:space="preserve">Pre launch waitlist.</t>
  </si>
  <si>
    <t xml:space="preserve">email</t>
  </si>
  <si>
    <t xml:space="preserve">citext</t>
  </si>
  <si>
    <t xml:space="preserve">source</t>
  </si>
  <si>
    <t xml:space="preserve">Page or campaign</t>
  </si>
  <si>
    <t xml:space="preserve">utm</t>
  </si>
  <si>
    <t xml:space="preserve">founding_eligible</t>
  </si>
  <si>
    <t xml:space="preserve">converted_org_id</t>
  </si>
  <si>
    <t xml:space="preserve">referrals</t>
  </si>
  <si>
    <t xml:space="preserve">Referral codes and rewards.</t>
  </si>
  <si>
    <t xml:space="preserve">referrer_org_id</t>
  </si>
  <si>
    <t xml:space="preserve">code</t>
  </si>
  <si>
    <t xml:space="preserve">referred_org_id</t>
  </si>
  <si>
    <t xml:space="preserve">pending, qualified, rewarded</t>
  </si>
  <si>
    <t xml:space="preserve">value_guides</t>
  </si>
  <si>
    <t xml:space="preserve">Public programmatic price guide pages.</t>
  </si>
  <si>
    <t xml:space="preserve">data_snapshot</t>
  </si>
  <si>
    <t xml:space="preserve">Aggregated figures shown on the page</t>
  </si>
  <si>
    <t xml:space="preserve">evidence_count</t>
  </si>
  <si>
    <t xml:space="preserve">is_indexable</t>
  </si>
  <si>
    <t xml:space="preserve">True only when threshold on tab 35 is met</t>
  </si>
  <si>
    <t xml:space="preserve">last_built_at</t>
  </si>
  <si>
    <t xml:space="preserve">auction_breakdowns</t>
  </si>
  <si>
    <t xml:space="preserve">Weekly public Auction Breakdown pages.</t>
  </si>
  <si>
    <t xml:space="preserve">headline</t>
  </si>
  <si>
    <t xml:space="preserve">featured_lots</t>
  </si>
  <si>
    <t xml:space="preserve">Lot refs, estimates, confidence, links. No copied photos</t>
  </si>
  <si>
    <t xml:space="preserve">published_at</t>
  </si>
  <si>
    <t xml:space="preserve">public_demo_sessions</t>
  </si>
  <si>
    <t xml:space="preserve">Anonymous try before sign up usage for rate limiting.</t>
  </si>
  <si>
    <t xml:space="preserve">ip_hash</t>
  </si>
  <si>
    <t xml:space="preserve">Hashed, never raw</t>
  </si>
  <si>
    <t xml:space="preserve">converted</t>
  </si>
  <si>
    <t xml:space="preserve">method_versions</t>
  </si>
  <si>
    <t xml:space="preserve">Valuation method releases.</t>
  </si>
  <si>
    <t xml:space="preserve">version</t>
  </si>
  <si>
    <t xml:space="preserve">For example 1.2.0</t>
  </si>
  <si>
    <t xml:space="preserve">released_at</t>
  </si>
  <si>
    <t xml:space="preserve">Plain English summary for the public changelog</t>
  </si>
  <si>
    <t xml:space="preserve">changes</t>
  </si>
  <si>
    <t xml:space="preserve">Weights, thresholds and rules changed</t>
  </si>
  <si>
    <t xml:space="preserve">platform_settings</t>
  </si>
  <si>
    <t xml:space="preserve">Admin editable platform defaults.</t>
  </si>
  <si>
    <t xml:space="preserve">key</t>
  </si>
  <si>
    <t xml:space="preserve">For example premium_fallback.grays</t>
  </si>
  <si>
    <t xml:space="preserve">updated_by</t>
  </si>
  <si>
    <t xml:space="preserve">platform_setting_changes</t>
  </si>
  <si>
    <t xml:space="preserve">Change log for platform settings.</t>
  </si>
  <si>
    <t xml:space="preserve">FK platform_settings</t>
  </si>
  <si>
    <t xml:space="preserve">old_value</t>
  </si>
  <si>
    <t xml:space="preserve">new_value</t>
  </si>
  <si>
    <t xml:space="preserve">Required</t>
  </si>
  <si>
    <t xml:space="preserve">changed_by</t>
  </si>
  <si>
    <t xml:space="preserve">org_settings</t>
  </si>
  <si>
    <t xml:space="preserve">Organisation defaults and locks.</t>
  </si>
  <si>
    <t xml:space="preserve">Setting key from tab 27</t>
  </si>
  <si>
    <t xml:space="preserve">lock_type</t>
  </si>
  <si>
    <t xml:space="preserve">none, fixed, floor</t>
  </si>
  <si>
    <t xml:space="preserve">user_preferences</t>
  </si>
  <si>
    <t xml:space="preserve">Personal overrides and interface preferences.</t>
  </si>
  <si>
    <t xml:space="preserve">Rejected server side if it breaches an org lock</t>
  </si>
  <si>
    <t xml:space="preserve">lot_overrides</t>
  </si>
  <si>
    <t xml:space="preserve">Every lot level change from a system value. Drives markers and the override summary.</t>
  </si>
  <si>
    <t xml:space="preserve">For example resale, premium_pct, transport</t>
  </si>
  <si>
    <t xml:space="preserve">system_value</t>
  </si>
  <si>
    <t xml:space="preserve">Value at time of override</t>
  </si>
  <si>
    <t xml:space="preserve">user_value</t>
  </si>
  <si>
    <t xml:space="preserve">Null when reset</t>
  </si>
  <si>
    <t xml:space="preserve">False after reset</t>
  </si>
  <si>
    <t xml:space="preserve">correction_reviews</t>
  </si>
  <si>
    <t xml:space="preserve">Proposed changes to shared data awaiting admin review.</t>
  </si>
  <si>
    <t xml:space="preserve">Submitting organisation. Hidden from others</t>
  </si>
  <si>
    <t xml:space="preserve">product, comparable, auction, lot</t>
  </si>
  <si>
    <t xml:space="preserve">proposed_change</t>
  </si>
  <si>
    <t xml:space="preserve">evidence</t>
  </si>
  <si>
    <t xml:space="preserve">Link or note supporting the change</t>
  </si>
  <si>
    <t xml:space="preserve">pending, approved, rejected</t>
  </si>
  <si>
    <t xml:space="preserve">reviewed_by</t>
  </si>
  <si>
    <t xml:space="preserve">resolution_note</t>
  </si>
  <si>
    <t xml:space="preserve">problem_reports</t>
  </si>
  <si>
    <t xml:space="preserve">Report a problem submissions.</t>
  </si>
  <si>
    <t xml:space="preserve">lot, identification, comparable, valuation</t>
  </si>
  <si>
    <t xml:space="preserve">category</t>
  </si>
  <si>
    <t xml:space="preserve">wrong_item, wrong_price, broken_link, wrong_premium, other</t>
  </si>
  <si>
    <t xml:space="preserve">open, in_review, resolved, closed</t>
  </si>
  <si>
    <t xml:space="preserve">correction_review_id</t>
  </si>
  <si>
    <t xml:space="preserve">FK correction_reviews</t>
  </si>
  <si>
    <t xml:space="preserve">When it leads to a shared data change</t>
  </si>
  <si>
    <t xml:space="preserve">terms_versions</t>
  </si>
  <si>
    <t xml:space="preserve">Versioned terms and core disclaimer.</t>
  </si>
  <si>
    <t xml:space="preserve">is_material</t>
  </si>
  <si>
    <t xml:space="preserve">True forces re acceptance</t>
  </si>
  <si>
    <t xml:space="preserve">content_url</t>
  </si>
  <si>
    <t xml:space="preserve">terms_acceptances</t>
  </si>
  <si>
    <t xml:space="preserve">Clickwrap acceptance records.</t>
  </si>
  <si>
    <t xml:space="preserve">PK, FK terms_versions</t>
  </si>
  <si>
    <t xml:space="preserve">accepted_at</t>
  </si>
  <si>
    <t xml:space="preserve">ip_address</t>
  </si>
  <si>
    <t xml:space="preserve">inet</t>
  </si>
  <si>
    <t xml:space="preserve">accuracy_stats</t>
  </si>
  <si>
    <t xml:space="preserve">Measured accuracy by category for publishing.</t>
  </si>
  <si>
    <t xml:space="preserve">PK, FK categories</t>
  </si>
  <si>
    <t xml:space="preserve">period</t>
  </si>
  <si>
    <t xml:space="preserve">For example 2026 Q4</t>
  </si>
  <si>
    <t xml:space="preserve">outcome_count</t>
  </si>
  <si>
    <t xml:space="preserve">within_15_pct</t>
  </si>
  <si>
    <t xml:space="preserve">numeric(5,4)</t>
  </si>
  <si>
    <t xml:space="preserve">conservative_hit_rate</t>
  </si>
  <si>
    <t xml:space="preserve">is_published</t>
  </si>
  <si>
    <t xml:space="preserve">True only when outcome_count meets the minimum</t>
  </si>
  <si>
    <t xml:space="preserve">Security and Row Level Security</t>
  </si>
  <si>
    <t xml:space="preserve">Applies to</t>
  </si>
  <si>
    <t xml:space="preserve">Rule</t>
  </si>
  <si>
    <t xml:space="preserve">Organisation scoped tables</t>
  </si>
  <si>
    <t xml:space="preserve">analyses, analysis_lots, lot_identifications, valuations, lot_costs, outcomes, cost_profiles, notifications, exports, credit_ledger</t>
  </si>
  <si>
    <t xml:space="preserve">Select, insert and update allowed where org_id is in the user's memberships. Helper function is_org_member(org_id).</t>
  </si>
  <si>
    <t xml:space="preserve">Shared tables</t>
  </si>
  <si>
    <t xml:space="preserve">auctions, lots, lot_images, products, product_aliases, comparables, comparable_snapshots, categories, auction_platforms</t>
  </si>
  <si>
    <t xml:space="preserve">Read for any signed in user. Write only by the service role through background jobs.</t>
  </si>
  <si>
    <t xml:space="preserve">Match table</t>
  </si>
  <si>
    <t xml:space="preserve">Readable when the linked identification belongs to the user's organisation. Written by service role. Users may update excluded_by_user only.</t>
  </si>
  <si>
    <t xml:space="preserve">Viewer read only. Buyer can edit costs, confirm identifications and spend credits. Admin manages members and profiles. Owner manages billing.</t>
  </si>
  <si>
    <t xml:space="preserve">Credits</t>
  </si>
  <si>
    <t xml:space="preserve">Insert only through a security definer function that checks balance atomically. No direct client writes.</t>
  </si>
  <si>
    <t xml:space="preserve">Service role</t>
  </si>
  <si>
    <t xml:space="preserve">Inngest or Trigger.dev functions</t>
  </si>
  <si>
    <t xml:space="preserve">Service key held only in server environment variables. Never sent to the browser.</t>
  </si>
  <si>
    <t xml:space="preserve">PDF uploads and exports buckets</t>
  </si>
  <si>
    <t xml:space="preserve">Private buckets. Paths prefixed by org_id. Signed URLs with short expiry.</t>
  </si>
  <si>
    <t xml:space="preserve">Secrets</t>
  </si>
  <si>
    <t xml:space="preserve">API keys for Claude, search, extraction, routing, Stripe</t>
  </si>
  <si>
    <t xml:space="preserve">Stored in Vercel and job runner environments. Rotated on staff change.</t>
  </si>
  <si>
    <t xml:space="preserve">Privacy</t>
  </si>
  <si>
    <t xml:space="preserve">Outcomes and user data</t>
  </si>
  <si>
    <t xml:space="preserve">Pooled use of outcomes only with explicit consent flag. Privacy policy aligned to the Australian Privacy Principles.</t>
  </si>
  <si>
    <t xml:space="preserve">Abuse controls</t>
  </si>
  <si>
    <t xml:space="preserve">Submission endpoints</t>
  </si>
  <si>
    <t xml:space="preserve">Rate limit per organisation. Maximum lots per catalogue per tier. Bot protection on sign up.</t>
  </si>
  <si>
    <t xml:space="preserve">Platform settings</t>
  </si>
  <si>
    <t xml:space="preserve">platform_settings, platform_setting_changes, method_versions</t>
  </si>
  <si>
    <t xml:space="preserve">Read for signed in users. Write only by platform admins, with the change log written in the same transaction.</t>
  </si>
  <si>
    <t xml:space="preserve">Organisation settings and locks</t>
  </si>
  <si>
    <t xml:space="preserve">org_settings, user_preferences, lot_overrides</t>
  </si>
  <si>
    <t xml:space="preserve">Owners and admins write org_settings. Lock rules enforced by a database function on every write to user_preferences, lot_costs and lot_overrides, not only in the interface.</t>
  </si>
  <si>
    <t xml:space="preserve">Private comparables</t>
  </si>
  <si>
    <t xml:space="preserve">comparables where org_id is set</t>
  </si>
  <si>
    <t xml:space="preserve">Readable and writable only by members of that organisation. Never used in other organisations' valuations.</t>
  </si>
  <si>
    <t xml:space="preserve">Correction reviews</t>
  </si>
  <si>
    <t xml:space="preserve">Members insert for their organisation and read their own submissions. Only platform admins approve. Submitting organisation never revealed to others.</t>
  </si>
  <si>
    <t xml:space="preserve">Terms</t>
  </si>
  <si>
    <t xml:space="preserve">Insert own acceptance only. Middleware blocks app access when a material version is unaccepted.</t>
  </si>
  <si>
    <t xml:space="preserve">Technology Stack</t>
  </si>
  <si>
    <t xml:space="preserve">Confirm current pricing and limits for each service before build.</t>
  </si>
  <si>
    <t xml:space="preserve">Layer</t>
  </si>
  <si>
    <t xml:space="preserve">Choice</t>
  </si>
  <si>
    <t xml:space="preserve">Why</t>
  </si>
  <si>
    <t xml:space="preserve">Alternative</t>
  </si>
  <si>
    <t xml:space="preserve">Frontend</t>
  </si>
  <si>
    <t xml:space="preserve">Next.js App Router, TypeScript, Tailwind CSS, shadcn/ui</t>
  </si>
  <si>
    <t xml:space="preserve">Matches existing HSES Online skills</t>
  </si>
  <si>
    <t xml:space="preserve">Remix</t>
  </si>
  <si>
    <t xml:space="preserve">Tables</t>
  </si>
  <si>
    <t xml:space="preserve">TanStack Table</t>
  </si>
  <si>
    <t xml:space="preserve">Dense, sortable, filterable lot tables</t>
  </si>
  <si>
    <t xml:space="preserve">AG Grid</t>
  </si>
  <si>
    <t xml:space="preserve">Hosting</t>
  </si>
  <si>
    <t xml:space="preserve">Vercel</t>
  </si>
  <si>
    <t xml:space="preserve">Native Next.js hosting</t>
  </si>
  <si>
    <t xml:space="preserve">Netlify</t>
  </si>
  <si>
    <t xml:space="preserve">Database and auth</t>
  </si>
  <si>
    <t xml:space="preserve">Supabase Postgres, Auth, Storage, pgvector</t>
  </si>
  <si>
    <t xml:space="preserve">RLS for multi tenancy, vector search for product matching</t>
  </si>
  <si>
    <t xml:space="preserve">Neon plus Clerk</t>
  </si>
  <si>
    <t xml:space="preserve">Durable steps, retries, fan out, schedules</t>
  </si>
  <si>
    <t xml:space="preserve">Supabase Queues</t>
  </si>
  <si>
    <t xml:space="preserve">AI</t>
  </si>
  <si>
    <t xml:space="preserve">Claude API. Haiku class for triage, Sonnet class for deep analysis and vision</t>
  </si>
  <si>
    <t xml:space="preserve">Strong vision and structured output</t>
  </si>
  <si>
    <t xml:space="preserve">Model agnostic layer later</t>
  </si>
  <si>
    <t xml:space="preserve">Page extraction</t>
  </si>
  <si>
    <t xml:space="preserve">Firecrawl or Browserbase</t>
  </si>
  <si>
    <t xml:space="preserve">Rendered pages without running our own browsers</t>
  </si>
  <si>
    <t xml:space="preserve">Self hosted Playwright</t>
  </si>
  <si>
    <t xml:space="preserve">PDF parsing</t>
  </si>
  <si>
    <t xml:space="preserve">Text extraction with OCR fallback, then Claude structuring</t>
  </si>
  <si>
    <t xml:space="preserve">Handles scanned catalogues</t>
  </si>
  <si>
    <t xml:space="preserve">Claude PDF input directly</t>
  </si>
  <si>
    <t xml:space="preserve">Brave Search API or SerpAPI</t>
  </si>
  <si>
    <t xml:space="preserve">Predictable structured results</t>
  </si>
  <si>
    <t xml:space="preserve">Claude web search tool</t>
  </si>
  <si>
    <t xml:space="preserve">Marketplace data</t>
  </si>
  <si>
    <t xml:space="preserve">eBay Browse API, Marketplace Insights if approved</t>
  </si>
  <si>
    <t xml:space="preserve">Official access</t>
  </si>
  <si>
    <t xml:space="preserve">Search API results</t>
  </si>
  <si>
    <t xml:space="preserve">Routing</t>
  </si>
  <si>
    <t xml:space="preserve">Google Routes API or Mapbox</t>
  </si>
  <si>
    <t xml:space="preserve">Road distance for transport estimates</t>
  </si>
  <si>
    <t xml:space="preserve">OpenRouteService</t>
  </si>
  <si>
    <t xml:space="preserve">Resend with React Email</t>
  </si>
  <si>
    <t xml:space="preserve">Transactional emails and alerts</t>
  </si>
  <si>
    <t xml:space="preserve">Postmark</t>
  </si>
  <si>
    <t xml:space="preserve">Push</t>
  </si>
  <si>
    <t xml:space="preserve">Web push through the progressive web app</t>
  </si>
  <si>
    <t xml:space="preserve">Closing soon alerts on phones</t>
  </si>
  <si>
    <t xml:space="preserve">SMS later</t>
  </si>
  <si>
    <t xml:space="preserve">PDF generation</t>
  </si>
  <si>
    <t xml:space="preserve">React PDF</t>
  </si>
  <si>
    <t xml:space="preserve">Bid sheet exports</t>
  </si>
  <si>
    <t xml:space="preserve">Headless browser render</t>
  </si>
  <si>
    <t xml:space="preserve">Payments</t>
  </si>
  <si>
    <t xml:space="preserve">Stripe Billing (phase 2)</t>
  </si>
  <si>
    <t xml:space="preserve">Subscriptions, credits and top ups</t>
  </si>
  <si>
    <t xml:space="preserve">Paddle</t>
  </si>
  <si>
    <t xml:space="preserve">Monitoring</t>
  </si>
  <si>
    <t xml:space="preserve">Sentry</t>
  </si>
  <si>
    <t xml:space="preserve">Error tracking across app and jobs</t>
  </si>
  <si>
    <t xml:space="preserve">Analytics</t>
  </si>
  <si>
    <t xml:space="preserve">PostHog</t>
  </si>
  <si>
    <t xml:space="preserve">Product analytics and feature flags</t>
  </si>
  <si>
    <t xml:space="preserve">Plausible</t>
  </si>
  <si>
    <t xml:space="preserve">Development</t>
  </si>
  <si>
    <t xml:space="preserve">Claude Code and Codex, GitHub, GitHub Actions</t>
  </si>
  <si>
    <t xml:space="preserve">Existing workflow</t>
  </si>
  <si>
    <t xml:space="preserve">Testing</t>
  </si>
  <si>
    <t xml:space="preserve">Vitest for calculator maths, Playwright for end to end</t>
  </si>
  <si>
    <t xml:space="preserve">Bid maths must be tested to the cent</t>
  </si>
  <si>
    <t xml:space="preserve">Fonts</t>
  </si>
  <si>
    <t xml:space="preserve">next/font self hosting Barlow and Space Mono</t>
  </si>
  <si>
    <t xml:space="preserve">No layout shift, no third party font requests</t>
  </si>
  <si>
    <t xml:space="preserve">Monorepo</t>
  </si>
  <si>
    <t xml:space="preserve">Turborepo with pnpm workspaces</t>
  </si>
  <si>
    <t xml:space="preserve">Shared packages, cached builds, one repository</t>
  </si>
  <si>
    <t xml:space="preserve">Nx</t>
  </si>
  <si>
    <t xml:space="preserve">Component catalogue</t>
  </si>
  <si>
    <t xml:space="preserve">Storybook with the test runner and a11y addon</t>
  </si>
  <si>
    <t xml:space="preserve">Build and review components in isolation before pages</t>
  </si>
  <si>
    <t xml:space="preserve">Ladle</t>
  </si>
  <si>
    <t xml:space="preserve">Visual regression</t>
  </si>
  <si>
    <t xml:space="preserve">Chromatic, or Playwright screenshot tests</t>
  </si>
  <si>
    <t xml:space="preserve">Catches unintended visual changes per component</t>
  </si>
  <si>
    <t xml:space="preserve">Decide in O16</t>
  </si>
  <si>
    <t xml:space="preserve">Code size limits</t>
  </si>
  <si>
    <t xml:space="preserve">ESLint max-lines and max-lines-per-function rules</t>
  </si>
  <si>
    <t xml:space="preserve">Keeps every file small and editable</t>
  </si>
  <si>
    <t xml:space="preserve">Bundle budgets</t>
  </si>
  <si>
    <t xml:space="preserve">size-limit and Next.js bundle analyzer in CI</t>
  </si>
  <si>
    <t xml:space="preserve">Fails the build when a route grows past budget</t>
  </si>
  <si>
    <t xml:space="preserve">Web app manifest with Serwist service worker</t>
  </si>
  <si>
    <t xml:space="preserve">Offline bid view and home screen install</t>
  </si>
  <si>
    <t xml:space="preserve">Agent rules</t>
  </si>
  <si>
    <t xml:space="preserve">CLAUDE.md and AGENTS.md at repo root</t>
  </si>
  <si>
    <t xml:space="preserve">Claude Code and Codex follow the same architecture rules</t>
  </si>
  <si>
    <t xml:space="preserve">Styling</t>
  </si>
  <si>
    <t xml:space="preserve">Tailwind CSS v4 with CSS variable tokens and restyled shadcn/ui</t>
  </si>
  <si>
    <t xml:space="preserve">One token set drives site and app, light and dark</t>
  </si>
  <si>
    <t xml:space="preserve">Marketing content</t>
  </si>
  <si>
    <t xml:space="preserve">MDX in the repo for static pages, database driven pages for guides and breakdowns</t>
  </si>
  <si>
    <t xml:space="preserve">Version controlled copy, programmatic scale</t>
  </si>
  <si>
    <t xml:space="preserve">Sanity or Payload CMS later</t>
  </si>
  <si>
    <t xml:space="preserve">Social images</t>
  </si>
  <si>
    <t xml:space="preserve">Next.js ImageResponse (Open Graph image generation)</t>
  </si>
  <si>
    <t xml:space="preserve">Branded share cards per page</t>
  </si>
  <si>
    <t xml:space="preserve">Search tooling</t>
  </si>
  <si>
    <t xml:space="preserve">Google Search Console, Bing Webmaster Tools, IndexNow</t>
  </si>
  <si>
    <t xml:space="preserve">Indexing and monitoring. Bing feeds several AI answer engines</t>
  </si>
  <si>
    <t xml:space="preserve">Accessibility testing</t>
  </si>
  <si>
    <t xml:space="preserve">axe core in Playwright runs and manual screen reader checks</t>
  </si>
  <si>
    <t xml:space="preserve">WCAG 2.2 AA enforced in CI</t>
  </si>
  <si>
    <t xml:space="preserve">Screen Inventory</t>
  </si>
  <si>
    <t xml:space="preserve">Key components</t>
  </si>
  <si>
    <t xml:space="preserve">Device</t>
  </si>
  <si>
    <t xml:space="preserve">SC01</t>
  </si>
  <si>
    <t xml:space="preserve">Access</t>
  </si>
  <si>
    <t xml:space="preserve">Magic link, Google sign in</t>
  </si>
  <si>
    <t xml:space="preserve">Both</t>
  </si>
  <si>
    <t xml:space="preserve">SC02</t>
  </si>
  <si>
    <t xml:space="preserve">Dashboard</t>
  </si>
  <si>
    <t xml:space="preserve">Recent analyses, watchlist closing soon, credit balance</t>
  </si>
  <si>
    <t xml:space="preserve">Analysis cards, closing countdown list, credit meter</t>
  </si>
  <si>
    <t xml:space="preserve">Desktop first</t>
  </si>
  <si>
    <t xml:space="preserve">SC03</t>
  </si>
  <si>
    <t xml:space="preserve">New analysis</t>
  </si>
  <si>
    <t xml:space="preserve">Submit URL or PDF and choose cost profile</t>
  </si>
  <si>
    <t xml:space="preserve">URL field with platform detection, PDF drop zone, profile selector, triage allowance note</t>
  </si>
  <si>
    <t xml:space="preserve">SC04</t>
  </si>
  <si>
    <t xml:space="preserve">Show extraction and triage progress</t>
  </si>
  <si>
    <t xml:space="preserve">Stage stepper, progress bar, leave page notice</t>
  </si>
  <si>
    <t xml:space="preserve">SC05</t>
  </si>
  <si>
    <t xml:space="preserve">Rank and shortlist lots</t>
  </si>
  <si>
    <t xml:space="preserve">Dense table, opportunity score, rough range, rough max bid, filters, checkbox shortlist, credit preview bar</t>
  </si>
  <si>
    <t xml:space="preserve">SC06</t>
  </si>
  <si>
    <t xml:space="preserve">Deep analysis result for one lot</t>
  </si>
  <si>
    <t xml:space="preserve">Photo strip, identification card with confirm and edit, valuation band, confidence badge, bid limits, calculator</t>
  </si>
  <si>
    <t xml:space="preserve">SC06A</t>
  </si>
  <si>
    <t xml:space="preserve">Spec sheet section</t>
  </si>
  <si>
    <t xml:space="preserve">Enriched specifications for the lot</t>
  </si>
  <si>
    <t xml:space="preserve">Four source class groups, optional equipment checklist, conflict flags, source links, Report a problem, download PDF</t>
  </si>
  <si>
    <t xml:space="preserve">SC07</t>
  </si>
  <si>
    <t xml:space="preserve">Evidence panel</t>
  </si>
  <si>
    <t xml:space="preserve">Show comparables</t>
  </si>
  <si>
    <t xml:space="preserve">Comparable rows with match level badge, reason, differences, price, date checked, link, exclude toggle</t>
  </si>
  <si>
    <t xml:space="preserve">SC08</t>
  </si>
  <si>
    <t xml:space="preserve">Calculator panel</t>
  </si>
  <si>
    <t xml:space="preserve">Costs and profit</t>
  </si>
  <si>
    <t xml:space="preserve">Collapsed cost summary with expand, profit mode toggle, bid slider with green, amber and red zones, cash required and effective cost</t>
  </si>
  <si>
    <t xml:space="preserve">SC09</t>
  </si>
  <si>
    <t xml:space="preserve">Track lots across auctions</t>
  </si>
  <si>
    <t xml:space="preserve">List with countdown, target and absolute maximum, alert settings</t>
  </si>
  <si>
    <t xml:space="preserve">SC10</t>
  </si>
  <si>
    <t xml:space="preserve">Use while bidding</t>
  </si>
  <si>
    <t xml:space="preserve">One lot per card, very large target and maximum figures, stop line, swipe between lots</t>
  </si>
  <si>
    <t xml:space="preserve">SC11</t>
  </si>
  <si>
    <t xml:space="preserve">Record results</t>
  </si>
  <si>
    <t xml:space="preserve">Quick won or lost entry, hammer price, resale price later, accuracy indicator</t>
  </si>
  <si>
    <t xml:space="preserve">SC12</t>
  </si>
  <si>
    <t xml:space="preserve">Manage defaults</t>
  </si>
  <si>
    <t xml:space="preserve">Profile list, editor for each cost line and transport rate</t>
  </si>
  <si>
    <t xml:space="preserve">SC13</t>
  </si>
  <si>
    <t xml:space="preserve">Settings</t>
  </si>
  <si>
    <t xml:space="preserve">Organisation, GST, base location, members, alerts</t>
  </si>
  <si>
    <t xml:space="preserve">Forms, member invite, role selector</t>
  </si>
  <si>
    <t xml:space="preserve">SC14</t>
  </si>
  <si>
    <t xml:space="preserve">Billing (phase 2)</t>
  </si>
  <si>
    <t xml:space="preserve">Plan and credits</t>
  </si>
  <si>
    <t xml:space="preserve">Plan cards, credit history, top up purchase</t>
  </si>
  <si>
    <t xml:space="preserve">SC15</t>
  </si>
  <si>
    <t xml:space="preserve">Platform health and costs</t>
  </si>
  <si>
    <t xml:space="preserve">Extractor status, premium defaults, category rules, cost per job charts</t>
  </si>
  <si>
    <t xml:space="preserve">Desktop</t>
  </si>
  <si>
    <t xml:space="preserve">SC16</t>
  </si>
  <si>
    <t xml:space="preserve">Three step setup and guided first analysis</t>
  </si>
  <si>
    <t xml:space="preserve">GST toggle with plain explanation, base location, profit target, sample catalogue option, progress indicator</t>
  </si>
  <si>
    <t xml:space="preserve">SC17</t>
  </si>
  <si>
    <t xml:space="preserve">Try before sign up result</t>
  </si>
  <si>
    <t xml:space="preserve">Sample triage for anonymous visitors</t>
  </si>
  <si>
    <t xml:space="preserve">Top lots from a cached triage, blurred remainder, sign up call to action, DS21 note</t>
  </si>
  <si>
    <t xml:space="preserve">Design System</t>
  </si>
  <si>
    <t xml:space="preserve">Blueprint direction. Light pages, navy panels, data dense and precise. Signed off 22 September 2026.</t>
  </si>
  <si>
    <t xml:space="preserve">Principles</t>
  </si>
  <si>
    <t xml:space="preserve">Numbers first. Calm neutral surfaces. Colour used only for meaning: profit zones, confidence and match levels. Every figure shows its basis on hover or tap.</t>
  </si>
  <si>
    <t xml:space="preserve">Barlow 700 to 800 for headings and bid figures. Barlow 400 to 600 for body and interface text, with tabular figures on all numbers. Space Mono for lot numbers, model codes and uppercase data labels. Base size 15px on desktop tables, 16px on mobile, 48px or larger for bid figures in the phone bid view. Full brand system on tab 33.</t>
  </si>
  <si>
    <t xml:space="preserve">Density</t>
  </si>
  <si>
    <t xml:space="preserve">Table rows 36px on desktop with a comfortable option at 44px. Sticky table header and first column.</t>
  </si>
  <si>
    <t xml:space="preserve">Numbers</t>
  </si>
  <si>
    <t xml:space="preserve">Whole dollars in tables, cents only in the calculator detail. Negative values in red with a minus sign replaced by parentheses in exports.</t>
  </si>
  <si>
    <t xml:space="preserve">WCAG 2.2 AA contrast on light pages and navy panels. Status never shown by colour alone: every zone and badge carries a text label.</t>
  </si>
  <si>
    <t xml:space="preserve">Token</t>
  </si>
  <si>
    <t xml:space="preserve">Use</t>
  </si>
  <si>
    <t xml:space="preserve">Light pages</t>
  </si>
  <si>
    <t xml:space="preserve">On navy panels</t>
  </si>
  <si>
    <t xml:space="preserve">background</t>
  </si>
  <si>
    <t xml:space="preserve">Page background</t>
  </si>
  <si>
    <t xml:space="preserve">#F4F7FA</t>
  </si>
  <si>
    <t xml:space="preserve">Drafting white</t>
  </si>
  <si>
    <t xml:space="preserve">surface</t>
  </si>
  <si>
    <t xml:space="preserve">Cards, tables and search panel</t>
  </si>
  <si>
    <t xml:space="preserve">#FFFFFF</t>
  </si>
  <si>
    <t xml:space="preserve">#0E2A47</t>
  </si>
  <si>
    <t xml:space="preserve">Navy is the panel colour for headers, bid limits and sign up</t>
  </si>
  <si>
    <t xml:space="preserve">surface_muted</t>
  </si>
  <si>
    <t xml:space="preserve">Table headers on light, photo placeholders, chips</t>
  </si>
  <si>
    <t xml:space="preserve">#E6EDF4</t>
  </si>
  <si>
    <t xml:space="preserve">rgba(255,255,255,0.14)</t>
  </si>
  <si>
    <t xml:space="preserve">border</t>
  </si>
  <si>
    <t xml:space="preserve">Hairlines and dividers</t>
  </si>
  <si>
    <t xml:space="preserve">#C9D6E3</t>
  </si>
  <si>
    <t xml:space="preserve">#7FC8F8 at 50 percent</t>
  </si>
  <si>
    <t xml:space="preserve">Double inset frame lines on navy panels</t>
  </si>
  <si>
    <t xml:space="preserve">ink</t>
  </si>
  <si>
    <t xml:space="preserve">Primary text</t>
  </si>
  <si>
    <t xml:space="preserve">#0E1B2B</t>
  </si>
  <si>
    <t xml:space="preserve">ink_muted</t>
  </si>
  <si>
    <t xml:space="preserve">Secondary text and notes</t>
  </si>
  <si>
    <t xml:space="preserve">#4A5A6D</t>
  </si>
  <si>
    <t xml:space="preserve">#B7CDE3</t>
  </si>
  <si>
    <t xml:space="preserve">Disclaimer notes use this</t>
  </si>
  <si>
    <t xml:space="preserve">accent</t>
  </si>
  <si>
    <t xml:space="preserve">Marker yellow. Primary buttons, stop line, most you should bid</t>
  </si>
  <si>
    <t xml:space="preserve">#FFD23F fill with #0E1B2B text</t>
  </si>
  <si>
    <t xml:space="preserve">Never used for status or as text colour</t>
  </si>
  <si>
    <t xml:space="preserve">line</t>
  </si>
  <si>
    <t xml:space="preserve">Drafting lines and labels on navy</t>
  </si>
  <si>
    <t xml:space="preserve">#7FC8F8</t>
  </si>
  <si>
    <t xml:space="preserve">Title blocks, mono labels, frame lines</t>
  </si>
  <si>
    <t xml:space="preserve">link</t>
  </si>
  <si>
    <t xml:space="preserve">Links, icons, index numbers</t>
  </si>
  <si>
    <t xml:space="preserve">#1B6FD1</t>
  </si>
  <si>
    <t xml:space="preserve">zone_green</t>
  </si>
  <si>
    <t xml:space="preserve">Meets profit target</t>
  </si>
  <si>
    <t xml:space="preserve">#1E7A52</t>
  </si>
  <si>
    <t xml:space="preserve">#6EE7B7</t>
  </si>
  <si>
    <t xml:space="preserve">Label: On target</t>
  </si>
  <si>
    <t xml:space="preserve">zone_amber</t>
  </si>
  <si>
    <t xml:space="preserve">Profitable, below target</t>
  </si>
  <si>
    <t xml:space="preserve">#B45309</t>
  </si>
  <si>
    <t xml:space="preserve">#FBBF24</t>
  </si>
  <si>
    <t xml:space="preserve">Label: Below target. Distinct from marker yellow</t>
  </si>
  <si>
    <t xml:space="preserve">zone_red</t>
  </si>
  <si>
    <t xml:space="preserve">Break even or loss</t>
  </si>
  <si>
    <t xml:space="preserve">#B91C1C</t>
  </si>
  <si>
    <t xml:space="preserve">#F87171</t>
  </si>
  <si>
    <t xml:space="preserve">Label: Loss risk</t>
  </si>
  <si>
    <t xml:space="preserve">tag_verified</t>
  </si>
  <si>
    <t xml:space="preserve">Verified tag</t>
  </si>
  <si>
    <t xml:space="preserve">#1E7A52 fill, white text</t>
  </si>
  <si>
    <t xml:space="preserve">tag_extracted</t>
  </si>
  <si>
    <t xml:space="preserve">Extracted tag</t>
  </si>
  <si>
    <t xml:space="preserve">#E6EDF4 fill, ink text</t>
  </si>
  <si>
    <t xml:space="preserve">tag_estimated</t>
  </si>
  <si>
    <t xml:space="preserve">Estimated tag</t>
  </si>
  <si>
    <t xml:space="preserve">#FFF4CC fill, ink text</t>
  </si>
  <si>
    <t xml:space="preserve">tag_your_input</t>
  </si>
  <si>
    <t xml:space="preserve">Your input tag</t>
  </si>
  <si>
    <t xml:space="preserve">#1B6FD1 fill, white text</t>
  </si>
  <si>
    <t xml:space="preserve">confidence_high</t>
  </si>
  <si>
    <t xml:space="preserve">High confidence</t>
  </si>
  <si>
    <t xml:space="preserve">confidence_medium</t>
  </si>
  <si>
    <t xml:space="preserve">Medium confidence</t>
  </si>
  <si>
    <t xml:space="preserve">confidence_low</t>
  </si>
  <si>
    <t xml:space="preserve">Low confidence</t>
  </si>
  <si>
    <t xml:space="preserve">confidence_insufficient</t>
  </si>
  <si>
    <t xml:space="preserve">Not enough evidence</t>
  </si>
  <si>
    <t xml:space="preserve">#6B7280</t>
  </si>
  <si>
    <t xml:space="preserve">#9CA3AF</t>
  </si>
  <si>
    <t xml:space="preserve">Specification</t>
  </si>
  <si>
    <t xml:space="preserve">Match level badge</t>
  </si>
  <si>
    <t xml:space="preserve">Pill with icon and text. Exact and Near exact solid. Spec and alternative outlined. Insufficient grey.</t>
  </si>
  <si>
    <t xml:space="preserve">Confidence badge</t>
  </si>
  <si>
    <t xml:space="preserve">Pill with label and score on hover.</t>
  </si>
  <si>
    <t xml:space="preserve">Track coloured by zone with markers at target, absolute maximum and break even. Live readout of profit and return.</t>
  </si>
  <si>
    <t xml:space="preserve">Cost summary</t>
  </si>
  <si>
    <t xml:space="preserve">One line total with a chevron to expand line items. Flag icon when selling fees are blank.</t>
  </si>
  <si>
    <t xml:space="preserve">Evidence row</t>
  </si>
  <si>
    <t xml:space="preserve">Source, price, date checked, match badge, one line reason, expand for differences, external link icon.</t>
  </si>
  <si>
    <t xml:space="preserve">Stop line</t>
  </si>
  <si>
    <t xml:space="preserve">Marker yellow bar at the break even price, with a yellow Stop bidding panel in the phone bid view.</t>
  </si>
  <si>
    <t xml:space="preserve">Commercial Model</t>
  </si>
  <si>
    <t xml:space="preserve">Indicative pricing in AUD excluding GST. Validate after the internal MVP. One credit equals one deep analysed lot.</t>
  </si>
  <si>
    <t xml:space="preserve">Tier</t>
  </si>
  <si>
    <t xml:space="preserve">Monthly price ($)</t>
  </si>
  <si>
    <t xml:space="preserve">Triage catalogues per month</t>
  </si>
  <si>
    <t xml:space="preserve">Deep credits per month</t>
  </si>
  <si>
    <t xml:space="preserve">Seats</t>
  </si>
  <si>
    <t xml:space="preserve">Includes</t>
  </si>
  <si>
    <t xml:space="preserve">Target persona</t>
  </si>
  <si>
    <t xml:space="preserve">Free</t>
  </si>
  <si>
    <t xml:space="preserve">Triage, limited deep analysis, watchlist</t>
  </si>
  <si>
    <t xml:space="preserve">Entry point</t>
  </si>
  <si>
    <t xml:space="preserve">All V1 features, PDF bid sheet, alerts</t>
  </si>
  <si>
    <t xml:space="preserve">Everything in Starter, CSV export, outcome analytics</t>
  </si>
  <si>
    <t xml:space="preserve">Everything in Pro, team roles, priority processing</t>
  </si>
  <si>
    <t xml:space="preserve">Dealers and liquidators</t>
  </si>
  <si>
    <t xml:space="preserve">Top up pack</t>
  </si>
  <si>
    <t xml:space="preserve">Price ($)</t>
  </si>
  <si>
    <t xml:space="preserve">Price per credit</t>
  </si>
  <si>
    <t xml:space="preserve">Top up small</t>
  </si>
  <si>
    <t xml:space="preserve">Top up large</t>
  </si>
  <si>
    <t xml:space="preserve">Credit rules</t>
  </si>
  <si>
    <t xml:space="preserve">Credits reserved when deep analysis starts and settled on completion. Failed lots are refunded automatically. Revaluation after a correction is free when cached comparables are reused and costs one credit when a new search is needed.</t>
  </si>
  <si>
    <t xml:space="preserve">Rollover</t>
  </si>
  <si>
    <t xml:space="preserve">Unused plan credits roll over for one month. Top up credits last twelve months.</t>
  </si>
  <si>
    <t xml:space="preserve">Annual plans</t>
  </si>
  <si>
    <t xml:space="preserve">Two months free on annual billing.</t>
  </si>
  <si>
    <t xml:space="preserve">Pricing rule</t>
  </si>
  <si>
    <t xml:space="preserve">Price per credit must stay well above the deep analysis cost per lot on tab 19. Every tier should hold at least 30 percent gross margin at full usage. First draft prices failed this test and were revised.</t>
  </si>
  <si>
    <t xml:space="preserve">Unit Economics</t>
  </si>
  <si>
    <t xml:space="preserve">All cost inputs are estimates in AUD. Replace with logged actuals from ai_runs and usage_events during the MVP.</t>
  </si>
  <si>
    <t xml:space="preserve">Inputs</t>
  </si>
  <si>
    <t xml:space="preserve">Lots per catalogue</t>
  </si>
  <si>
    <t xml:space="preserve">Typical large Grays catalogue.</t>
  </si>
  <si>
    <t xml:space="preserve">Extraction cost per catalogue</t>
  </si>
  <si>
    <t xml:space="preserve">Estimate. Managed extraction service.</t>
  </si>
  <si>
    <t xml:space="preserve">Triage cost per lot</t>
  </si>
  <si>
    <t xml:space="preserve">Estimate. Small model plus one search call.</t>
  </si>
  <si>
    <t xml:space="preserve">Deep analysis cost per lot</t>
  </si>
  <si>
    <t xml:space="preserve">Estimate. Vision, several searches, page fetches and grading.</t>
  </si>
  <si>
    <t xml:space="preserve">Shortlist rate</t>
  </si>
  <si>
    <t xml:space="preserve">Share of lots users send to deep analysis.</t>
  </si>
  <si>
    <t xml:space="preserve">Infrastructure overhead per catalogue</t>
  </si>
  <si>
    <t xml:space="preserve">Estimate. Hosting, storage, email, jobs.</t>
  </si>
  <si>
    <t xml:space="preserve">Organisations sharing each catalogue</t>
  </si>
  <si>
    <t xml:space="preserve">Extraction and triage identification run once per auction and are shared. Set to 1 for the worst case.</t>
  </si>
  <si>
    <t xml:space="preserve">Cost per catalogue</t>
  </si>
  <si>
    <t xml:space="preserve">Triage cost (shared)</t>
  </si>
  <si>
    <t xml:space="preserve">Lots deep analysed</t>
  </si>
  <si>
    <t xml:space="preserve">Deep analysis cost</t>
  </si>
  <si>
    <t xml:space="preserve">Total cost per catalogue</t>
  </si>
  <si>
    <t xml:space="preserve">Cost per deep credit (deep cost only)</t>
  </si>
  <si>
    <t xml:space="preserve">Tier margin at full usage</t>
  </si>
  <si>
    <t xml:space="preserve">Triage cost ($)</t>
  </si>
  <si>
    <t xml:space="preserve">Deep cost ($)</t>
  </si>
  <si>
    <t xml:space="preserve">Total cost ($)</t>
  </si>
  <si>
    <t xml:space="preserve">Gross margin</t>
  </si>
  <si>
    <t xml:space="preserve">Full usage is the worst case. Most subscribers use well below their allowance. The free tier is a marketing cost and shows as a negative margin by design.</t>
  </si>
  <si>
    <t xml:space="preserve">Legal and Compliance</t>
  </si>
  <si>
    <t xml:space="preserve">Obtain legal review of terms and disclaimers before public launch.</t>
  </si>
  <si>
    <t xml:space="preserve">Requirement</t>
  </si>
  <si>
    <t xml:space="preserve">Where it applies</t>
  </si>
  <si>
    <t xml:space="preserve">Decision support tool. Not valuation advice, financial advice or a guarantee of resale value.</t>
  </si>
  <si>
    <t xml:space="preserve">Terms of use, onboarding, lot detail footer, bid sheet footer</t>
  </si>
  <si>
    <t xml:space="preserve">Standard disclaimer</t>
  </si>
  <si>
    <t xml:space="preserve">Values are estimates based on publicly available information at the date checked. Inspect items and verify condition before bidding. You are responsible for your bidding decisions.</t>
  </si>
  <si>
    <t xml:space="preserve">Every lot and every export</t>
  </si>
  <si>
    <t xml:space="preserve">Confidence disclosure</t>
  </si>
  <si>
    <t xml:space="preserve">Match level and confidence shown next to every value. Insufficient evidence lots show no system bid.</t>
  </si>
  <si>
    <t xml:space="preserve">Lot detail, triage table</t>
  </si>
  <si>
    <t xml:space="preserve">Australian Consumer Law</t>
  </si>
  <si>
    <t xml:space="preserve">Avoid misleading claims in marketing such as guaranteed profit or accurate valuations.</t>
  </si>
  <si>
    <t xml:space="preserve">Website, ads, emails</t>
  </si>
  <si>
    <t xml:space="preserve">GST</t>
  </si>
  <si>
    <t xml:space="preserve">Calculator explains GST treatment in plain terms and states it is not tax advice.</t>
  </si>
  <si>
    <t xml:space="preserve">Calculator panel, help page</t>
  </si>
  <si>
    <t xml:space="preserve">Privacy policy aligned to the Australian Privacy Principles. Explicit consent before pooled use of outcomes.</t>
  </si>
  <si>
    <t xml:space="preserve">Sign up, settings</t>
  </si>
  <si>
    <t xml:space="preserve">Third party content</t>
  </si>
  <si>
    <t xml:space="preserve">Show link, price, date and our own text summary. Do not copy or display third party photos as comparables.</t>
  </si>
  <si>
    <t xml:space="preserve">Respect each site's terms and robots rules. Public pages only. Rate limited. No login bypass. Stop and seek permission where terms prohibit automated access.</t>
  </si>
  <si>
    <t xml:space="preserve">API terms</t>
  </si>
  <si>
    <t xml:space="preserve">Comply with eBay, search API and routing API terms including attribution and caching limits.</t>
  </si>
  <si>
    <t xml:space="preserve">Data layer</t>
  </si>
  <si>
    <t xml:space="preserve">Automated bidding</t>
  </si>
  <si>
    <t xml:space="preserve">Not offered. Users bid themselves on the auction site.</t>
  </si>
  <si>
    <t xml:space="preserve">Name Candidates</t>
  </si>
  <si>
    <t xml:space="preserve">Selected: MaxBid at maxbid.com.au. Remaining candidates kept as fallbacks if trade mark checks fail.</t>
  </si>
  <si>
    <t xml:space="preserve">Meaning</t>
  </si>
  <si>
    <t xml:space="preserve">Strengths</t>
  </si>
  <si>
    <t xml:space="preserve">Hammerwise</t>
  </si>
  <si>
    <t xml:space="preserve">Smart about the hammer price.</t>
  </si>
  <si>
    <t xml:space="preserve">Clear meaning, memorable</t>
  </si>
  <si>
    <t xml:space="preserve">Lotwise</t>
  </si>
  <si>
    <t xml:space="preserve">Wise about every lot.</t>
  </si>
  <si>
    <t xml:space="preserve">Short, category neutral</t>
  </si>
  <si>
    <t xml:space="preserve">BidCeiling</t>
  </si>
  <si>
    <t xml:space="preserve">The most you should pay.</t>
  </si>
  <si>
    <t xml:space="preserve">Describes the core outcome</t>
  </si>
  <si>
    <t xml:space="preserve">Knockdown</t>
  </si>
  <si>
    <t xml:space="preserve">Auction term for the fall of the hammer.</t>
  </si>
  <si>
    <t xml:space="preserve">Strong auction language</t>
  </si>
  <si>
    <t xml:space="preserve">Also means cheap, which fits resellers</t>
  </si>
  <si>
    <t xml:space="preserve">MaxBid (SELECTED)</t>
  </si>
  <si>
    <t xml:space="preserve">Direct and literal. The most you should pay.</t>
  </si>
  <si>
    <t xml:space="preserve">Instantly understood, matches the core output</t>
  </si>
  <si>
    <t xml:space="preserve">maxbid.com used by a US auction house and Maxbid is a crypto app name. Generic auction phrase. Trade mark search required.</t>
  </si>
  <si>
    <t xml:space="preserve">LotLogic</t>
  </si>
  <si>
    <t xml:space="preserve">Logic applied to each lot.</t>
  </si>
  <si>
    <t xml:space="preserve">Suits the evidence first positioning</t>
  </si>
  <si>
    <t xml:space="preserve">Bidproof</t>
  </si>
  <si>
    <t xml:space="preserve">Bids backed by proof.</t>
  </si>
  <si>
    <t xml:space="preserve">Reflects transparency principle</t>
  </si>
  <si>
    <t xml:space="preserve">Hammerline</t>
  </si>
  <si>
    <t xml:space="preserve">The line you do not cross.</t>
  </si>
  <si>
    <t xml:space="preserve">Links to the stop line feature</t>
  </si>
  <si>
    <t xml:space="preserve">Risk Register</t>
  </si>
  <si>
    <t xml:space="preserve">Likelihood and impact scored 1 to 5. Rating is a formula.</t>
  </si>
  <si>
    <t xml:space="preserve">Category</t>
  </si>
  <si>
    <t xml:space="preserve">Risk</t>
  </si>
  <si>
    <t xml:space="preserve">Likelihood</t>
  </si>
  <si>
    <t xml:space="preserve">Impact</t>
  </si>
  <si>
    <t xml:space="preserve">Rating</t>
  </si>
  <si>
    <t xml:space="preserve">Mitigation</t>
  </si>
  <si>
    <t xml:space="preserve">R01</t>
  </si>
  <si>
    <t xml:space="preserve">Technical</t>
  </si>
  <si>
    <t xml:space="preserve">Auction site structure changes break an extractor</t>
  </si>
  <si>
    <t xml:space="preserve">Extractor health checks, admin alerts, PDF fallback, versioned extractors</t>
  </si>
  <si>
    <t xml:space="preserve">R02</t>
  </si>
  <si>
    <t xml:space="preserve">Auction site blocks automated access</t>
  </si>
  <si>
    <t xml:space="preserve">Managed extraction, rate limits, compliance with terms, partnership approach later</t>
  </si>
  <si>
    <t xml:space="preserve">R03</t>
  </si>
  <si>
    <t xml:space="preserve">Sold price data is hard to obtain</t>
  </si>
  <si>
    <t xml:space="preserve">Apply for eBay Marketplace Insights early, use auction realised results, build internal outcomes</t>
  </si>
  <si>
    <t xml:space="preserve">R04</t>
  </si>
  <si>
    <t xml:space="preserve">Accuracy</t>
  </si>
  <si>
    <t xml:space="preserve">Wrong identification leads to a wrong value</t>
  </si>
  <si>
    <t xml:space="preserve">Vision on plates, mandatory user confirmation, confidence scoring, evidence visible</t>
  </si>
  <si>
    <t xml:space="preserve">R05</t>
  </si>
  <si>
    <t xml:space="preserve">Weak comparables in broad categories</t>
  </si>
  <si>
    <t xml:space="preserve">Honest match levels, insufficient evidence state, category rules added progressively</t>
  </si>
  <si>
    <t xml:space="preserve">R06</t>
  </si>
  <si>
    <t xml:space="preserve">User overbids and blames the platform</t>
  </si>
  <si>
    <t xml:space="preserve">Conservative default, stop line, disclaimers, decision support positioning</t>
  </si>
  <si>
    <t xml:space="preserve">R07</t>
  </si>
  <si>
    <t xml:space="preserve">Cost per catalogue exceeds pricing</t>
  </si>
  <si>
    <t xml:space="preserve">Two stage triage, cost logging per job, credit model, caching</t>
  </si>
  <si>
    <t xml:space="preserve">R08</t>
  </si>
  <si>
    <t xml:space="preserve">Breach of third party terms or copyright</t>
  </si>
  <si>
    <t xml:space="preserve">No copied images, respect terms, legal review before launch</t>
  </si>
  <si>
    <t xml:space="preserve">R09</t>
  </si>
  <si>
    <t xml:space="preserve">Build time competes with consulting workload</t>
  </si>
  <si>
    <t xml:space="preserve">Tight V1 scope, eight week plan, weekly milestones</t>
  </si>
  <si>
    <t xml:space="preserve">R10</t>
  </si>
  <si>
    <t xml:space="preserve">Scope creep before design sign off</t>
  </si>
  <si>
    <t xml:space="preserve">Decision register controls change. No build until workbook signed off.</t>
  </si>
  <si>
    <t xml:space="preserve">R11</t>
  </si>
  <si>
    <t xml:space="preserve">Security</t>
  </si>
  <si>
    <t xml:space="preserve">Cross tenant data leak</t>
  </si>
  <si>
    <t xml:space="preserve">RLS on all organisation tables, automated RLS tests</t>
  </si>
  <si>
    <t xml:space="preserve">R12</t>
  </si>
  <si>
    <t xml:space="preserve">Value guides seen as thin or duplicate content</t>
  </si>
  <si>
    <t xml:space="preserve">Publish threshold, unique data per page, noindex below threshold, human review of templates</t>
  </si>
  <si>
    <t xml:space="preserve">R13</t>
  </si>
  <si>
    <t xml:space="preserve">Auction houses object to Auction Breakdowns</t>
  </si>
  <si>
    <t xml:space="preserve">Link to their lots, no copied photos or text, frame as driving bidders to them, open partnership conversation</t>
  </si>
  <si>
    <t xml:space="preserve">R14</t>
  </si>
  <si>
    <t xml:space="preserve">Try before sign up abused and costs rise</t>
  </si>
  <si>
    <t xml:space="preserve">Serve cached shared triage only, rate limit per IP, cap lots shown, bot protection</t>
  </si>
  <si>
    <t xml:space="preserve">R15</t>
  </si>
  <si>
    <t xml:space="preserve">Chosen name unavailable as domain or trade mark</t>
  </si>
  <si>
    <t xml:space="preserve">Check ASIC, IP Australia and domains before any design work on the logo</t>
  </si>
  <si>
    <t xml:space="preserve">R16</t>
  </si>
  <si>
    <t xml:space="preserve">Branded search for MaxBid shows the US auction house and crypto app</t>
  </si>
  <si>
    <t xml:space="preserve">Always search as MaxBid Australia in early content, Organization schema with Australian details, consistent handles, Google Business Profile, build branded mentions in AU communities</t>
  </si>
  <si>
    <t xml:space="preserve">R17</t>
  </si>
  <si>
    <t xml:space="preserve">MaxBid refused as a trade mark for being descriptive</t>
  </si>
  <si>
    <t xml:space="preserve">Search and seek advice before filing. Register the stylised logo as well as the word. Fallback names on tab 21</t>
  </si>
  <si>
    <t xml:space="preserve">R18</t>
  </si>
  <si>
    <t xml:space="preserve">Components duplicated or files grow out of control during fast AI assisted builds</t>
  </si>
  <si>
    <t xml:space="preserve">Library first rule in CLAUDE.md and AGENTS.md, lint caps fail CI, Storybook review before pages, monthly duplication check</t>
  </si>
  <si>
    <t xml:space="preserve">R19</t>
  </si>
  <si>
    <t xml:space="preserve">Desktop polish drifts ahead of mobile or the reverse</t>
  </si>
  <si>
    <t xml:space="preserve">Every story and test runs at 375px and 1440px, usability rounds on real phones</t>
  </si>
  <si>
    <t xml:space="preserve">R20</t>
  </si>
  <si>
    <t xml:space="preserve">Marker yellow confused with the amber warning colour</t>
  </si>
  <si>
    <t xml:space="preserve">Yellow only for actions and the bid figure, amber only for warnings with a text label, contrast tests in CI</t>
  </si>
  <si>
    <t xml:space="preserve">Roadmap</t>
  </si>
  <si>
    <t xml:space="preserve">Phase 1 is the internal MVP. Build starts only after workbook sign off.</t>
  </si>
  <si>
    <t xml:space="preserve">Timing</t>
  </si>
  <si>
    <t xml:space="preserve">Milestone</t>
  </si>
  <si>
    <t xml:space="preserve">Deliverables</t>
  </si>
  <si>
    <t xml:space="preserve">Exit criteria</t>
  </si>
  <si>
    <t xml:space="preserve">Phase 0</t>
  </si>
  <si>
    <t xml:space="preserve">Week 0</t>
  </si>
  <si>
    <t xml:space="preserve">Review this workbook, close open items, apply for eBay Marketplace Insights, confirm service accounts</t>
  </si>
  <si>
    <t xml:space="preserve">Signed off workbook</t>
  </si>
  <si>
    <t xml:space="preserve">Phase 1</t>
  </si>
  <si>
    <t xml:space="preserve">Week 1</t>
  </si>
  <si>
    <t xml:space="preserve">Foundations</t>
  </si>
  <si>
    <t xml:space="preserve">Turborepo monorepo, lint limits, CLAUDE.md and AGENTS.md, packages for tokens, calc and content, Storybook with core primitives, Supabase schema and migrations, auth, organisations, roles, RLS with tests, app shell, manifest. Holding page with waitlist live on the root domain</t>
  </si>
  <si>
    <t xml:space="preserve">Signed in user in an organisation. Waitlist collecting emails</t>
  </si>
  <si>
    <t xml:space="preserve">Week 2</t>
  </si>
  <si>
    <t xml:space="preserve">Ingestion</t>
  </si>
  <si>
    <t xml:space="preserve">Grays extractor, PDF upload and parsing, lot normalisation, premium terms parsing, job runner setup</t>
  </si>
  <si>
    <t xml:space="preserve">Grays and PDF catalogues extracted</t>
  </si>
  <si>
    <t xml:space="preserve">Week 3</t>
  </si>
  <si>
    <t xml:space="preserve">Pickles and Lloyds extractors, triage identification and rough valuation, opportunity score, email on completion</t>
  </si>
  <si>
    <t xml:space="preserve">Ranked triage for all three sources</t>
  </si>
  <si>
    <t xml:space="preserve">Week 4</t>
  </si>
  <si>
    <t xml:space="preserve">Triage interface</t>
  </si>
  <si>
    <t xml:space="preserve">Triage table, filters, shortlist, credit preview, progress screen</t>
  </si>
  <si>
    <t xml:space="preserve">User can shortlist lots</t>
  </si>
  <si>
    <t xml:space="preserve">Week 5</t>
  </si>
  <si>
    <t xml:space="preserve">Vision identification, confirmation and editing, comparable search across sources, match grading</t>
  </si>
  <si>
    <t xml:space="preserve">Evidence panel populated</t>
  </si>
  <si>
    <t xml:space="preserve">Week 6</t>
  </si>
  <si>
    <t xml:space="preserve">Valuation and calculator</t>
  </si>
  <si>
    <t xml:space="preserve">Weighting, scenarios, confidence, bid limits, slider, cost lines, cost profiles, GST engine with unit tests matching tab 10</t>
  </si>
  <si>
    <t xml:space="preserve">Bid limits correct to the cent</t>
  </si>
  <si>
    <t xml:space="preserve">Week 7</t>
  </si>
  <si>
    <t xml:space="preserve">Transport estimate, watchlist, closing alerts, outcome recording, PDF bid sheet, CSV, mobile bid view</t>
  </si>
  <si>
    <t xml:space="preserve">Full journey usable</t>
  </si>
  <si>
    <t xml:space="preserve">Week 8</t>
  </si>
  <si>
    <t xml:space="preserve">Hardening and live use</t>
  </si>
  <si>
    <t xml:space="preserve">Cost logging review, error handling, test on real auctions, record outcomes, fix accuracy issues</t>
  </si>
  <si>
    <t xml:space="preserve">Internal MVP in use</t>
  </si>
  <si>
    <t xml:space="preserve">Month 3</t>
  </si>
  <si>
    <t xml:space="preserve">Full marketing site from tab 34, try before sign up, onboarding flow, schema, sitemaps, Search Console and Bing Webmaster Tools, Auction Breakdown template, first four breakdowns published</t>
  </si>
  <si>
    <t xml:space="preserve">Site live and indexed</t>
  </si>
  <si>
    <t xml:space="preserve">Month 4</t>
  </si>
  <si>
    <t xml:space="preserve">Commercial launch</t>
  </si>
  <si>
    <t xml:space="preserve">Stripe billing, credits, free tier, founding member offer to waitlist, legal review, referral programme, lifecycle emails, first category rules</t>
  </si>
  <si>
    <t xml:space="preserve">Paying users</t>
  </si>
  <si>
    <t xml:space="preserve">Months 4 to 6</t>
  </si>
  <si>
    <t xml:space="preserve">Value guides</t>
  </si>
  <si>
    <t xml:space="preserve">Value guide template, publish threshold job, first guides for products meeting the threshold, internal linking</t>
  </si>
  <si>
    <t xml:space="preserve">Guides indexed and ranking</t>
  </si>
  <si>
    <t xml:space="preserve">Phase 3</t>
  </si>
  <si>
    <t xml:space="preserve">Month 5 onward</t>
  </si>
  <si>
    <t xml:space="preserve">More auction sources, saved search alerts, margin dashboard, pooled outcomes, partnerships</t>
  </si>
  <si>
    <t xml:space="preserve">Expanded product</t>
  </si>
  <si>
    <t xml:space="preserve">Success Metrics</t>
  </si>
  <si>
    <t xml:space="preserve">Measured during internal use before commercial launch. Targets are proposed and editable.</t>
  </si>
  <si>
    <t xml:space="preserve">Metric</t>
  </si>
  <si>
    <t xml:space="preserve">Target</t>
  </si>
  <si>
    <t xml:space="preserve">Extraction completeness</t>
  </si>
  <si>
    <t xml:space="preserve">Lots extracted correctly as a share of lots in the catalogue</t>
  </si>
  <si>
    <t xml:space="preserve">Identification accuracy</t>
  </si>
  <si>
    <t xml:space="preserve">Deep identifications confirmed without edit</t>
  </si>
  <si>
    <t xml:space="preserve">Valuation accuracy</t>
  </si>
  <si>
    <t xml:space="preserve">Actual resale within 15 percent of expected resale</t>
  </si>
  <si>
    <t xml:space="preserve">Conservative reliability</t>
  </si>
  <si>
    <t xml:space="preserve">Actual resale at or above conservative resale</t>
  </si>
  <si>
    <t xml:space="preserve">Triage time</t>
  </si>
  <si>
    <t xml:space="preserve">Minutes from submission to triage email for 300 lots</t>
  </si>
  <si>
    <t xml:space="preserve">Deep analysis time</t>
  </si>
  <si>
    <t xml:space="preserve">Minutes per shortlisted lot</t>
  </si>
  <si>
    <t xml:space="preserve">Total AUD cost for a 300 lot catalogue at 10 percent shortlist</t>
  </si>
  <si>
    <t xml:space="preserve">Profit on target</t>
  </si>
  <si>
    <t xml:space="preserve">Won lots achieving at least the target profit</t>
  </si>
  <si>
    <t xml:space="preserve">Waitlist sign ups</t>
  </si>
  <si>
    <t xml:space="preserve">Emails collected before public launch</t>
  </si>
  <si>
    <t xml:space="preserve">Visitor to sign up</t>
  </si>
  <si>
    <t xml:space="preserve">Share of homepage visitors who create an account</t>
  </si>
  <si>
    <t xml:space="preserve">Time to first value</t>
  </si>
  <si>
    <t xml:space="preserve">Minutes from sign up to first triage result</t>
  </si>
  <si>
    <t xml:space="preserve">Activation</t>
  </si>
  <si>
    <t xml:space="preserve">New accounts completing a deep analysis within 7 days</t>
  </si>
  <si>
    <t xml:space="preserve">Month 3 retention</t>
  </si>
  <si>
    <t xml:space="preserve">Paying organisations still active after three months</t>
  </si>
  <si>
    <t xml:space="preserve">Organic share</t>
  </si>
  <si>
    <t xml:space="preserve">Share of new sign ups from organic search and AI answers</t>
  </si>
  <si>
    <t xml:space="preserve">Value guides indexed</t>
  </si>
  <si>
    <t xml:space="preserve">Published guides indexed by Google 90 days after launch</t>
  </si>
  <si>
    <t xml:space="preserve">AI citations</t>
  </si>
  <si>
    <t xml:space="preserve">Monthly count of AI answer citations found in tracked prompts</t>
  </si>
  <si>
    <t xml:space="preserve">Referral share</t>
  </si>
  <si>
    <t xml:space="preserve">Share of new paying organisations from referrals</t>
  </si>
  <si>
    <t xml:space="preserve">Core Web Vitals</t>
  </si>
  <si>
    <t xml:space="preserve">Share of public URLs rated Good in Search Console</t>
  </si>
  <si>
    <t xml:space="preserve">Open Items</t>
  </si>
  <si>
    <t xml:space="preserve">Items to close before or during Phase 0.</t>
  </si>
  <si>
    <t xml:space="preserve">Item</t>
  </si>
  <si>
    <t xml:space="preserve">How to close</t>
  </si>
  <si>
    <t xml:space="preserve">Owner</t>
  </si>
  <si>
    <t xml:space="preserve">When</t>
  </si>
  <si>
    <t xml:space="preserve">O01</t>
  </si>
  <si>
    <t xml:space="preserve">Choose between Inngest and Trigger.dev</t>
  </si>
  <si>
    <t xml:space="preserve">Build a small spike of the fan out pattern on each</t>
  </si>
  <si>
    <t xml:space="preserve">Ashleigh</t>
  </si>
  <si>
    <t xml:space="preserve">O02</t>
  </si>
  <si>
    <t xml:space="preserve">Choose between Firecrawl and Browserbase</t>
  </si>
  <si>
    <t xml:space="preserve">Test both on one catalogue from each auction house</t>
  </si>
  <si>
    <t xml:space="preserve">O03</t>
  </si>
  <si>
    <t xml:space="preserve">Choose between Brave Search API and SerpAPI</t>
  </si>
  <si>
    <t xml:space="preserve">Compare result quality on 20 sample lots</t>
  </si>
  <si>
    <t xml:space="preserve">O04</t>
  </si>
  <si>
    <t xml:space="preserve">Apply for eBay Marketplace Insights access</t>
  </si>
  <si>
    <t xml:space="preserve">Submit application through the eBay developer program</t>
  </si>
  <si>
    <t xml:space="preserve">O05</t>
  </si>
  <si>
    <t xml:space="preserve">Review Grays, Pickles and Lloyds terms of use</t>
  </si>
  <si>
    <t xml:space="preserve">Read terms and record any restrictions on automated access</t>
  </si>
  <si>
    <t xml:space="preserve">O06</t>
  </si>
  <si>
    <t xml:space="preserve">Which categories get specific rules first</t>
  </si>
  <si>
    <t xml:space="preserve">Rank by what we buy most and where generic matching is weakest</t>
  </si>
  <si>
    <t xml:space="preserve">Ashleigh and Jason</t>
  </si>
  <si>
    <t xml:space="preserve">O07</t>
  </si>
  <si>
    <t xml:space="preserve">Calibrate matching and confidence weights</t>
  </si>
  <si>
    <t xml:space="preserve">Compare against recorded outcomes after the first 30 won lots</t>
  </si>
  <si>
    <t xml:space="preserve">O08</t>
  </si>
  <si>
    <t xml:space="preserve">Closed. MaxBid selected</t>
  </si>
  <si>
    <t xml:space="preserve">Closed</t>
  </si>
  <si>
    <t xml:space="preserve">O09</t>
  </si>
  <si>
    <t xml:space="preserve">Validate pricing tiers</t>
  </si>
  <si>
    <t xml:space="preserve">Interview five resellers and test willingness to pay</t>
  </si>
  <si>
    <t xml:space="preserve">O10</t>
  </si>
  <si>
    <t xml:space="preserve">Legal review of terms and disclaimers</t>
  </si>
  <si>
    <t xml:space="preserve">Engage a lawyer before public launch</t>
  </si>
  <si>
    <t xml:space="preserve">O11</t>
  </si>
  <si>
    <t xml:space="preserve">Secure MaxBid</t>
  </si>
  <si>
    <t xml:space="preserve">Register maxbid.com.au under an ABN, search IP Australia for MaxBid in classes 9, 35 and 42, register the business name with ASIC, reserve social handles. Needed before the Week 1 holding page</t>
  </si>
  <si>
    <t xml:space="preserve">O12</t>
  </si>
  <si>
    <t xml:space="preserve">Logo design</t>
  </si>
  <si>
    <t xml:space="preserve">Wordmark and stop line mark from tab 32 direction</t>
  </si>
  <si>
    <t xml:space="preserve">O13</t>
  </si>
  <si>
    <t xml:space="preserve">Verify AI crawler user agents</t>
  </si>
  <si>
    <t xml:space="preserve">Confirm current names on each provider's documentation before writing robots.txt</t>
  </si>
  <si>
    <t xml:space="preserve">O14</t>
  </si>
  <si>
    <t xml:space="preserve">Set founding member offer</t>
  </si>
  <si>
    <t xml:space="preserve">Decide discount, duration and cap</t>
  </si>
  <si>
    <t xml:space="preserve">O15</t>
  </si>
  <si>
    <t xml:space="preserve">Choose AI citation tracking method</t>
  </si>
  <si>
    <t xml:space="preserve">Manual monthly prompt checks or a monitoring tool</t>
  </si>
  <si>
    <t xml:space="preserve">O16</t>
  </si>
  <si>
    <t xml:space="preserve">Choose visual regression tool</t>
  </si>
  <si>
    <t xml:space="preserve">Chromatic or Playwright screenshots, based on cost and workflow</t>
  </si>
  <si>
    <t xml:space="preserve">Configuration and Transparency Principles</t>
  </si>
  <si>
    <t xml:space="preserve">The rules every setting, screen and message must follow.</t>
  </si>
  <si>
    <t xml:space="preserve">Principle</t>
  </si>
  <si>
    <t xml:space="preserve">What it means in practice</t>
  </si>
  <si>
    <t xml:space="preserve">CP01</t>
  </si>
  <si>
    <t xml:space="preserve">The platform is a helper</t>
  </si>
  <si>
    <t xml:space="preserve">It advises. It never makes or blocks a bidding decision. The user may know more than the evidence, so the user can always enter their own figure and proceed.</t>
  </si>
  <si>
    <t xml:space="preserve">CP02</t>
  </si>
  <si>
    <t xml:space="preserve">Block only to protect others</t>
  </si>
  <si>
    <t xml:space="preserve">The platform blocks an action only when it would change data other users rely on, breach security or permissions, spend credits the organisation does not have, or alter the fixed method. Everything else is a warning.</t>
  </si>
  <si>
    <t xml:space="preserve">CP03</t>
  </si>
  <si>
    <t xml:space="preserve">Private by default</t>
  </si>
  <si>
    <t xml:space="preserve">Every user change applies to that lot in that organisation only. No user action changes what another organisation sees.</t>
  </si>
  <si>
    <t xml:space="preserve">CP04</t>
  </si>
  <si>
    <t xml:space="preserve">Shared data is moderated</t>
  </si>
  <si>
    <t xml:space="preserve">Corrections that would improve shared data go to an admin review queue. They apply to everyone only after approval.</t>
  </si>
  <si>
    <t xml:space="preserve">CP05</t>
  </si>
  <si>
    <t xml:space="preserve">The method is fixed and public</t>
  </si>
  <si>
    <t xml:space="preserve">Bid maths, GST, evidence weights, match levels and confidence scoring are hard coded, versioned and explained to users. They change only through a released version with a public changelog.</t>
  </si>
  <si>
    <t xml:space="preserve">CP06</t>
  </si>
  <si>
    <t xml:space="preserve">Defaults are editable, the method is not</t>
  </si>
  <si>
    <t xml:space="preserve">Operational defaults such as premium fallbacks and asking discounts are admin settings with a change log. Organisations set their own commercial defaults. Nobody edits the method through settings.</t>
  </si>
  <si>
    <t xml:space="preserve">CP07</t>
  </si>
  <si>
    <t xml:space="preserve">Every figure declares its source</t>
  </si>
  <si>
    <t xml:space="preserve">Each number carries one provenance tag: Verified, Extracted, Estimated or Your input. AI generated content carries an additional AI label.</t>
  </si>
  <si>
    <t xml:space="preserve">CP08</t>
  </si>
  <si>
    <t xml:space="preserve">Say what we do not know</t>
  </si>
  <si>
    <t xml:space="preserve">Every lot lists the sources searched, what was not found and what the platform cannot verify. Absence of evidence is shown, never hidden.</t>
  </si>
  <si>
    <t xml:space="preserve">CP09</t>
  </si>
  <si>
    <t xml:space="preserve">User figures are never presented as system figures</t>
  </si>
  <si>
    <t xml:space="preserve">When a user overrides a value, the override is marked, the system value stays visible and system confidence is not applied to the user's figure.</t>
  </si>
  <si>
    <t xml:space="preserve">CP10</t>
  </si>
  <si>
    <t xml:space="preserve">Nothing silently changes</t>
  </si>
  <si>
    <t xml:space="preserve">Method updates, data refreshes and overrides are always visible. Past results stay reproducible under the method version that produced them.</t>
  </si>
  <si>
    <t xml:space="preserve">CP11</t>
  </si>
  <si>
    <t xml:space="preserve">Plain factual language</t>
  </si>
  <si>
    <t xml:space="preserve">Warnings and disclaimers state the risk and the reason in plain, neutral words. No legal padding in the interface, full terms one tap away.</t>
  </si>
  <si>
    <t xml:space="preserve">CP13</t>
  </si>
  <si>
    <t xml:space="preserve">Model data is not unit data</t>
  </si>
  <si>
    <t xml:space="preserve">Specifications from a manufacturer describe the model, not the item at auction. They are never shown as confirmed for the lot unless observed in the photos or stated by the auctioneer.</t>
  </si>
  <si>
    <t xml:space="preserve">CP12</t>
  </si>
  <si>
    <t xml:space="preserve">Disclaimers where the risk is</t>
  </si>
  <si>
    <t xml:space="preserve">Short notes appear beside the figure they relate to, not as page banners. Every export carries the footer disclaimer, source tags and analysis date.</t>
  </si>
  <si>
    <t xml:space="preserve">Settings Matrix</t>
  </si>
  <si>
    <t xml:space="preserve">Where each setting lives, who can change it and how far the change reaches. Lower layers override higher layers unless locked.</t>
  </si>
  <si>
    <t xml:space="preserve">Setting</t>
  </si>
  <si>
    <t xml:space="preserve">Who can change</t>
  </si>
  <si>
    <t xml:space="preserve">Org lock</t>
  </si>
  <si>
    <t xml:space="preserve">Reach of change</t>
  </si>
  <si>
    <t xml:space="preserve">CS01</t>
  </si>
  <si>
    <t xml:space="preserve">Bid limit formulas</t>
  </si>
  <si>
    <t xml:space="preserve">Platform</t>
  </si>
  <si>
    <t xml:space="preserve">Hard coded</t>
  </si>
  <si>
    <t xml:space="preserve">Code release</t>
  </si>
  <si>
    <t xml:space="preserve">Tab 10 formulas</t>
  </si>
  <si>
    <t xml:space="preserve">Everyone</t>
  </si>
  <si>
    <t xml:space="preserve">Visible in How this was calculated</t>
  </si>
  <si>
    <t xml:space="preserve">CS02</t>
  </si>
  <si>
    <t xml:space="preserve">Calculation order and rounding</t>
  </si>
  <si>
    <t xml:space="preserve">Round to whole dollars for display, cents internally</t>
  </si>
  <si>
    <t xml:space="preserve">CS03</t>
  </si>
  <si>
    <t xml:space="preserve">10 percent</t>
  </si>
  <si>
    <t xml:space="preserve">Legislative change handled by release</t>
  </si>
  <si>
    <t xml:space="preserve">CS04</t>
  </si>
  <si>
    <t xml:space="preserve">Match level definitions</t>
  </si>
  <si>
    <t xml:space="preserve">Tab 08</t>
  </si>
  <si>
    <t xml:space="preserve">Published on methodology page</t>
  </si>
  <si>
    <t xml:space="preserve">CS05</t>
  </si>
  <si>
    <t xml:space="preserve">Versioned</t>
  </si>
  <si>
    <t xml:space="preserve">CS06</t>
  </si>
  <si>
    <t xml:space="preserve">CS07</t>
  </si>
  <si>
    <t xml:space="preserve">Confidence formula and bands</t>
  </si>
  <si>
    <t xml:space="preserve">CS08</t>
  </si>
  <si>
    <t xml:space="preserve">Minimum evidence threshold</t>
  </si>
  <si>
    <t xml:space="preserve">Three comparables and combined weight 1.5</t>
  </si>
  <si>
    <t xml:space="preserve">CS09</t>
  </si>
  <si>
    <t xml:space="preserve">Scenario percentiles</t>
  </si>
  <si>
    <t xml:space="preserve">25th, median, 75th</t>
  </si>
  <si>
    <t xml:space="preserve">CS10</t>
  </si>
  <si>
    <t xml:space="preserve">User supplied comparable weight</t>
  </si>
  <si>
    <t xml:space="preserve">0.50</t>
  </si>
  <si>
    <t xml:space="preserve">CS11</t>
  </si>
  <si>
    <t xml:space="preserve">Provenance tag definitions</t>
  </si>
  <si>
    <t xml:space="preserve">Tab 29</t>
  </si>
  <si>
    <t xml:space="preserve">CS12</t>
  </si>
  <si>
    <t xml:space="preserve">Core disclaimer wording</t>
  </si>
  <si>
    <t xml:space="preserve">Code release with terms version</t>
  </si>
  <si>
    <t xml:space="preserve">Tab 30</t>
  </si>
  <si>
    <t xml:space="preserve">Material change forces re acceptance</t>
  </si>
  <si>
    <t xml:space="preserve">CS13</t>
  </si>
  <si>
    <t xml:space="preserve">Stale data threshold</t>
  </si>
  <si>
    <t xml:space="preserve">7 days</t>
  </si>
  <si>
    <t xml:space="preserve">CS14</t>
  </si>
  <si>
    <t xml:space="preserve">Price cache period</t>
  </si>
  <si>
    <t xml:space="preserve">CS15</t>
  </si>
  <si>
    <t xml:space="preserve">Accuracy publishing minimum</t>
  </si>
  <si>
    <t xml:space="preserve">30 outcomes per category</t>
  </si>
  <si>
    <t xml:space="preserve">CS16</t>
  </si>
  <si>
    <t xml:space="preserve">Buyer's premium fallback per platform</t>
  </si>
  <si>
    <t xml:space="preserve">Admin setting</t>
  </si>
  <si>
    <t xml:space="preserve">Platform admin, logged</t>
  </si>
  <si>
    <t xml:space="preserve">Per platform</t>
  </si>
  <si>
    <t xml:space="preserve">New analyses</t>
  </si>
  <si>
    <t xml:space="preserve">Used only when extraction fails</t>
  </si>
  <si>
    <t xml:space="preserve">CS17</t>
  </si>
  <si>
    <t xml:space="preserve">GST on premium fallback per platform</t>
  </si>
  <si>
    <t xml:space="preserve">CS18</t>
  </si>
  <si>
    <t xml:space="preserve">Asking to selling discount by category</t>
  </si>
  <si>
    <t xml:space="preserve">New valuations</t>
  </si>
  <si>
    <t xml:space="preserve">Stamped on each valuation</t>
  </si>
  <si>
    <t xml:space="preserve">CS19</t>
  </si>
  <si>
    <t xml:space="preserve">Category tree</t>
  </si>
  <si>
    <t xml:space="preserve">CS20</t>
  </si>
  <si>
    <t xml:space="preserve">We cannot verify items by category</t>
  </si>
  <si>
    <t xml:space="preserve">CS21</t>
  </si>
  <si>
    <t xml:space="preserve">Extractor enabled per platform</t>
  </si>
  <si>
    <t xml:space="preserve">On</t>
  </si>
  <si>
    <t xml:space="preserve">Switch off a broken extractor without a deploy</t>
  </si>
  <si>
    <t xml:space="preserve">CS22</t>
  </si>
  <si>
    <t xml:space="preserve">Tier limits and credit prices</t>
  </si>
  <si>
    <t xml:space="preserve">Tab 18</t>
  </si>
  <si>
    <t xml:space="preserve">CS23</t>
  </si>
  <si>
    <t xml:space="preserve">Feature flags</t>
  </si>
  <si>
    <t xml:space="preserve">Targeted</t>
  </si>
  <si>
    <t xml:space="preserve">CS24</t>
  </si>
  <si>
    <t xml:space="preserve">Org setting</t>
  </si>
  <si>
    <t xml:space="preserve">Owner or admin</t>
  </si>
  <si>
    <t xml:space="preserve">Fixed</t>
  </si>
  <si>
    <t xml:space="preserve">Recalculates open lots</t>
  </si>
  <si>
    <t xml:space="preserve">CS25</t>
  </si>
  <si>
    <t xml:space="preserve">Base location</t>
  </si>
  <si>
    <t xml:space="preserve">Users may set a personal base</t>
  </si>
  <si>
    <t xml:space="preserve">CS26</t>
  </si>
  <si>
    <t xml:space="preserve">Owner, admin or buyer</t>
  </si>
  <si>
    <t xml:space="preserve">One default profile</t>
  </si>
  <si>
    <t xml:space="preserve">Lock prevents members editing profiles</t>
  </si>
  <si>
    <t xml:space="preserve">CS27</t>
  </si>
  <si>
    <t xml:space="preserve">Default cost profile</t>
  </si>
  <si>
    <t xml:space="preserve">CS28</t>
  </si>
  <si>
    <t xml:space="preserve">Default profit mode</t>
  </si>
  <si>
    <t xml:space="preserve">Dollars</t>
  </si>
  <si>
    <t xml:space="preserve">CS29</t>
  </si>
  <si>
    <t xml:space="preserve">Default target profit</t>
  </si>
  <si>
    <t xml:space="preserve">Floor</t>
  </si>
  <si>
    <t xml:space="preserve">Floor means members can raise but not lower</t>
  </si>
  <si>
    <t xml:space="preserve">CS30</t>
  </si>
  <si>
    <t xml:space="preserve">Drives absolute maximum bid</t>
  </si>
  <si>
    <t xml:space="preserve">CS31</t>
  </si>
  <si>
    <t xml:space="preserve">CS32</t>
  </si>
  <si>
    <t xml:space="preserve">Transport rate per km and base fee</t>
  </si>
  <si>
    <t xml:space="preserve">In cost profile</t>
  </si>
  <si>
    <t xml:space="preserve">CS33</t>
  </si>
  <si>
    <t xml:space="preserve">Default alert lead time</t>
  </si>
  <si>
    <t xml:space="preserve">30 minutes</t>
  </si>
  <si>
    <t xml:space="preserve">CS34</t>
  </si>
  <si>
    <t xml:space="preserve">Members and roles</t>
  </si>
  <si>
    <t xml:space="preserve">CS35</t>
  </si>
  <si>
    <t xml:space="preserve">Personal target profit</t>
  </si>
  <si>
    <t xml:space="preserve">User preference</t>
  </si>
  <si>
    <t xml:space="preserve">The user</t>
  </si>
  <si>
    <t xml:space="preserve">Subject to org lock</t>
  </si>
  <si>
    <t xml:space="preserve">Inherits org</t>
  </si>
  <si>
    <t xml:space="preserve">That user</t>
  </si>
  <si>
    <t xml:space="preserve">CS36</t>
  </si>
  <si>
    <t xml:space="preserve">Personal default cost profile</t>
  </si>
  <si>
    <t xml:space="preserve">CS37</t>
  </si>
  <si>
    <t xml:space="preserve">Personal base location</t>
  </si>
  <si>
    <t xml:space="preserve">CS38</t>
  </si>
  <si>
    <t xml:space="preserve">Alert lead time</t>
  </si>
  <si>
    <t xml:space="preserve">CS39</t>
  </si>
  <si>
    <t xml:space="preserve">Notification channels</t>
  </si>
  <si>
    <t xml:space="preserve">Email and push</t>
  </si>
  <si>
    <t xml:space="preserve">CS40</t>
  </si>
  <si>
    <t xml:space="preserve">Follow system</t>
  </si>
  <si>
    <t xml:space="preserve">CS41</t>
  </si>
  <si>
    <t xml:space="preserve">Table density and columns</t>
  </si>
  <si>
    <t xml:space="preserve">Standard</t>
  </si>
  <si>
    <t xml:space="preserve">CS42</t>
  </si>
  <si>
    <t xml:space="preserve">Default triage filters</t>
  </si>
  <si>
    <t xml:space="preserve">CS43</t>
  </si>
  <si>
    <t xml:space="preserve">Identification (brand, model, year, specs)</t>
  </si>
  <si>
    <t xml:space="preserve">Lot</t>
  </si>
  <si>
    <t xml:space="preserve">Lot input</t>
  </si>
  <si>
    <t xml:space="preserve">Buyer or above</t>
  </si>
  <si>
    <t xml:space="preserve">System identification</t>
  </si>
  <si>
    <t xml:space="preserve">That lot in that org</t>
  </si>
  <si>
    <t xml:space="preserve">Can also be submitted for shared review</t>
  </si>
  <si>
    <t xml:space="preserve">CS44</t>
  </si>
  <si>
    <t xml:space="preserve">Inherited</t>
  </si>
  <si>
    <t xml:space="preserve">CS45</t>
  </si>
  <si>
    <t xml:space="preserve">Resale price override</t>
  </si>
  <si>
    <t xml:space="preserve">System scenario value</t>
  </si>
  <si>
    <t xml:space="preserve">Tagged Your input</t>
  </si>
  <si>
    <t xml:space="preserve">CS46</t>
  </si>
  <si>
    <t xml:space="preserve">Wrong extraction can be reported for review</t>
  </si>
  <si>
    <t xml:space="preserve">CS47</t>
  </si>
  <si>
    <t xml:space="preserve">GST on hammer and premium flags</t>
  </si>
  <si>
    <t xml:space="preserve">CS48</t>
  </si>
  <si>
    <t xml:space="preserve">Cost line items</t>
  </si>
  <si>
    <t xml:space="preserve">Floor where profile is locked</t>
  </si>
  <si>
    <t xml:space="preserve">CS49</t>
  </si>
  <si>
    <t xml:space="preserve">Transport amount</t>
  </si>
  <si>
    <t xml:space="preserve">CS50</t>
  </si>
  <si>
    <t xml:space="preserve">Profit mode and target</t>
  </si>
  <si>
    <t xml:space="preserve">CS51</t>
  </si>
  <si>
    <t xml:space="preserve">Proposed bid (slider)</t>
  </si>
  <si>
    <t xml:space="preserve">Never locked. Warnings only.</t>
  </si>
  <si>
    <t xml:space="preserve">CS52</t>
  </si>
  <si>
    <t xml:space="preserve">Exclude comparable</t>
  </si>
  <si>
    <t xml:space="preserve">Included</t>
  </si>
  <si>
    <t xml:space="preserve">Reason required</t>
  </si>
  <si>
    <t xml:space="preserve">CS53</t>
  </si>
  <si>
    <t xml:space="preserve">That organisation</t>
  </si>
  <si>
    <t xml:space="preserve">Private to organisation</t>
  </si>
  <si>
    <t xml:space="preserve">CS54</t>
  </si>
  <si>
    <t xml:space="preserve">Off</t>
  </si>
  <si>
    <t xml:space="preserve">CS55</t>
  </si>
  <si>
    <t xml:space="preserve">Outcome</t>
  </si>
  <si>
    <t xml:space="preserve">Pooled use needs consent</t>
  </si>
  <si>
    <t xml:space="preserve">Override Rules and Responses</t>
  </si>
  <si>
    <t xml:space="preserve">Precedence</t>
  </si>
  <si>
    <t xml:space="preserve">Resolution order</t>
  </si>
  <si>
    <t xml:space="preserve">Lot value, then User preference, then Organisation setting, then Platform default. The first value found is used.</t>
  </si>
  <si>
    <t xml:space="preserve">Fixed lock</t>
  </si>
  <si>
    <t xml:space="preserve">The organisation value is used at every lower layer. Lower layers cannot save a different value.</t>
  </si>
  <si>
    <t xml:space="preserve">Floor lock</t>
  </si>
  <si>
    <t xml:space="preserve">Lower layers can set a value equal to or stricter than the organisation value but never less strict. For profit this means higher, never lower.</t>
  </si>
  <si>
    <t xml:space="preserve">Enforcement</t>
  </si>
  <si>
    <t xml:space="preserve">Locks are enforced by the database on every write, so the API and the interface behave the same.</t>
  </si>
  <si>
    <t xml:space="preserve">Locks and bidding</t>
  </si>
  <si>
    <t xml:space="preserve">Locks shape the calculated bid limits. They never stop a user moving the bid slider. A bid beyond a limit produces a warning, not a block.</t>
  </si>
  <si>
    <t xml:space="preserve">Hard coded items</t>
  </si>
  <si>
    <t xml:space="preserve">No layer can override them. They appear read only with a link to the methodology.</t>
  </si>
  <si>
    <t xml:space="preserve">Override display</t>
  </si>
  <si>
    <t xml:space="preserve">Marker</t>
  </si>
  <si>
    <t xml:space="preserve">Every overridden field shows a Your input tag and a small reset icon.</t>
  </si>
  <si>
    <t xml:space="preserve">System value</t>
  </si>
  <si>
    <t xml:space="preserve">The system value stays visible beside or beneath the override, never replaced.</t>
  </si>
  <si>
    <t xml:space="preserve">Reset</t>
  </si>
  <si>
    <t xml:space="preserve">One click restores the current system value. The reset is recorded in the lot history.</t>
  </si>
  <si>
    <t xml:space="preserve">Each lot has a Changes from system panel listing field, system value, your value, who changed it and when.</t>
  </si>
  <si>
    <t xml:space="preserve">Team visibility</t>
  </si>
  <si>
    <t xml:space="preserve">All organisation members see overrides and who made them.</t>
  </si>
  <si>
    <t xml:space="preserve">Confidence</t>
  </si>
  <si>
    <t xml:space="preserve">System confidence applies only to system values. When the resale price is overridden the confidence badge reads System confidence and the figure in use is tagged Your input.</t>
  </si>
  <si>
    <t xml:space="preserve">Situation responses</t>
  </si>
  <si>
    <t xml:space="preserve">Situation</t>
  </si>
  <si>
    <t xml:space="preserve">Reason</t>
  </si>
  <si>
    <t xml:space="preserve">Response</t>
  </si>
  <si>
    <t xml:space="preserve">Behaviour</t>
  </si>
  <si>
    <t xml:space="preserve">Message</t>
  </si>
  <si>
    <t xml:space="preserve">Proposed bid above target</t>
  </si>
  <si>
    <t xml:space="preserve">Slider enters amber zone</t>
  </si>
  <si>
    <t xml:space="preserve">Inform</t>
  </si>
  <si>
    <t xml:space="preserve">Zone label changes to Below target.</t>
  </si>
  <si>
    <t xml:space="preserve">Proposed bid above absolute maximum</t>
  </si>
  <si>
    <t xml:space="preserve">Profit falls below minimum</t>
  </si>
  <si>
    <t xml:space="preserve">Warn</t>
  </si>
  <si>
    <t xml:space="preserve">Warning shown beside the bid. User can proceed.</t>
  </si>
  <si>
    <t xml:space="preserve">DS05</t>
  </si>
  <si>
    <t xml:space="preserve">Proposed bid above break even</t>
  </si>
  <si>
    <t xml:space="preserve">Estimated loss</t>
  </si>
  <si>
    <t xml:space="preserve">Red warning with estimated loss amount. User can proceed.</t>
  </si>
  <si>
    <t xml:space="preserve">DS06</t>
  </si>
  <si>
    <t xml:space="preserve">Profit only met on optimistic scenario</t>
  </si>
  <si>
    <t xml:space="preserve">Relies on favourable outcome</t>
  </si>
  <si>
    <t xml:space="preserve">Warning on the lot and in the bid sheet.</t>
  </si>
  <si>
    <t xml:space="preserve">DS07</t>
  </si>
  <si>
    <t xml:space="preserve">Resale override entered</t>
  </si>
  <si>
    <t xml:space="preserve">User knows more than evidence</t>
  </si>
  <si>
    <t xml:space="preserve">Value tagged Your input, system value retained.</t>
  </si>
  <si>
    <t xml:space="preserve">DS04</t>
  </si>
  <si>
    <t xml:space="preserve">Resale override above optimistic value</t>
  </si>
  <si>
    <t xml:space="preserve">Above all evidence</t>
  </si>
  <si>
    <t xml:space="preserve">Warning that the figure is above every comparable found.</t>
  </si>
  <si>
    <t xml:space="preserve">No defensible comparable</t>
  </si>
  <si>
    <t xml:space="preserve">No system bid. Resale field opens for user entry.</t>
  </si>
  <si>
    <t xml:space="preserve">DS03</t>
  </si>
  <si>
    <t xml:space="preserve">Identification not confirmed</t>
  </si>
  <si>
    <t xml:space="preserve">Values may change</t>
  </si>
  <si>
    <t xml:space="preserve">Unconfirmed badge on the lot and bid sheet.</t>
  </si>
  <si>
    <t xml:space="preserve">DS14</t>
  </si>
  <si>
    <t xml:space="preserve">Selling fees blank</t>
  </si>
  <si>
    <t xml:space="preserve">Max bid may be inflated</t>
  </si>
  <si>
    <t xml:space="preserve">Flag on lot row and bid sheet.</t>
  </si>
  <si>
    <t xml:space="preserve">DS15</t>
  </si>
  <si>
    <t xml:space="preserve">Buyer's premium from fallback</t>
  </si>
  <si>
    <t xml:space="preserve">Extraction failed</t>
  </si>
  <si>
    <t xml:space="preserve">Premium tagged Estimated with note to check terms.</t>
  </si>
  <si>
    <t xml:space="preserve">DS12</t>
  </si>
  <si>
    <t xml:space="preserve">Price older than seven days</t>
  </si>
  <si>
    <t xml:space="preserve">Stale evidence</t>
  </si>
  <si>
    <t xml:space="preserve">Stale tag with refresh action.</t>
  </si>
  <si>
    <t xml:space="preserve">DS09</t>
  </si>
  <si>
    <t xml:space="preserve">All comparables excluded</t>
  </si>
  <si>
    <t xml:space="preserve">No evidence left</t>
  </si>
  <si>
    <t xml:space="preserve">Lot moves to insufficient evidence until a comparable is restored or a resale is entered.</t>
  </si>
  <si>
    <t xml:space="preserve">DS17</t>
  </si>
  <si>
    <t xml:space="preserve">Newer method available</t>
  </si>
  <si>
    <t xml:space="preserve">Result uses older method</t>
  </si>
  <si>
    <t xml:space="preserve">Prompt to recalculate. Old result remains viewable.</t>
  </si>
  <si>
    <t xml:space="preserve">DS19</t>
  </si>
  <si>
    <t xml:space="preserve">Edit below an organisation Floor lock</t>
  </si>
  <si>
    <t xml:space="preserve">Breaches organisation rule</t>
  </si>
  <si>
    <t xml:space="preserve">Block</t>
  </si>
  <si>
    <t xml:space="preserve">Field rejects the value and names the lock and its owner.</t>
  </si>
  <si>
    <t xml:space="preserve">Edit a Fixed locked setting</t>
  </si>
  <si>
    <t xml:space="preserve">Field read only with lock icon.</t>
  </si>
  <si>
    <t xml:space="preserve">Viewer attempts an edit</t>
  </si>
  <si>
    <t xml:space="preserve">Role permission</t>
  </si>
  <si>
    <t xml:space="preserve">Edit controls hidden.</t>
  </si>
  <si>
    <t xml:space="preserve">Deep analysis beyond available credits</t>
  </si>
  <si>
    <t xml:space="preserve">Billing integrity</t>
  </si>
  <si>
    <t xml:space="preserve">Shortlist cannot be confirmed. Shows credits needed.</t>
  </si>
  <si>
    <t xml:space="preserve">Edit shared data directly</t>
  </si>
  <si>
    <t xml:space="preserve">Protects other users</t>
  </si>
  <si>
    <t xml:space="preserve">Offer Submit for review instead.</t>
  </si>
  <si>
    <t xml:space="preserve">Change hard coded method</t>
  </si>
  <si>
    <t xml:space="preserve">Method integrity</t>
  </si>
  <si>
    <t xml:space="preserve">Read only with methodology link.</t>
  </si>
  <si>
    <t xml:space="preserve">Material terms change unaccepted</t>
  </si>
  <si>
    <t xml:space="preserve">Acceptance screen before continuing.</t>
  </si>
  <si>
    <t xml:space="preserve">DS01</t>
  </si>
  <si>
    <t xml:space="preserve">Transparency Specification</t>
  </si>
  <si>
    <t xml:space="preserve">Tag</t>
  </si>
  <si>
    <t xml:space="preserve">Examples</t>
  </si>
  <si>
    <t xml:space="preserve">Verified</t>
  </si>
  <si>
    <t xml:space="preserve">A sold result or recorded outcome with a checkable source.</t>
  </si>
  <si>
    <t xml:space="preserve">Auction realised price, marketplace sold listing, your recorded resale.</t>
  </si>
  <si>
    <t xml:space="preserve">Read directly from a source page without calculation.</t>
  </si>
  <si>
    <t xml:space="preserve">Advertised price, auction premium rate, closing time.</t>
  </si>
  <si>
    <t xml:space="preserve">Estimated</t>
  </si>
  <si>
    <t xml:space="preserve">Calculated or inferred by the platform, including fallbacks.</t>
  </si>
  <si>
    <t xml:space="preserve">Resale scenarios, transport, AI identification, premium fallback.</t>
  </si>
  <si>
    <t xml:space="preserve">Your input</t>
  </si>
  <si>
    <t xml:space="preserve">Entered or changed by a member of your organisation.</t>
  </si>
  <si>
    <t xml:space="preserve">Resale override, repair cost, user supplied comparable.</t>
  </si>
  <si>
    <t xml:space="preserve">AI generated label</t>
  </si>
  <si>
    <t xml:space="preserve">An additional label shown alongside the tag on any identification, match reason, difference list or summary produced by AI. It never replaces the provenance tag.</t>
  </si>
  <si>
    <t xml:space="preserve">Evidence display rules</t>
  </si>
  <si>
    <t xml:space="preserve">Every price</t>
  </si>
  <si>
    <t xml:space="preserve">Shows source name, link, date checked, provenance tag and match level.</t>
  </si>
  <si>
    <t xml:space="preserve">Date checked on every price. Stale tag and refresh action after seven days.</t>
  </si>
  <si>
    <t xml:space="preserve">Searched and not found</t>
  </si>
  <si>
    <t xml:space="preserve">Every lot lists each source queried, the number of results and what was not found. Example: eBay 4 results, no exact match. Grays past results 0 results. Manufacturer site new price not found.</t>
  </si>
  <si>
    <t xml:space="preserve">Adjustments</t>
  </si>
  <si>
    <t xml:space="preserve">Any price adjustment is shown as original price, adjustment percentage, reason and adjusted price.</t>
  </si>
  <si>
    <t xml:space="preserve">Weights</t>
  </si>
  <si>
    <t xml:space="preserve">Each comparable's combined weight is visible in the evidence panel.</t>
  </si>
  <si>
    <t xml:space="preserve">Expander on every bid limit. Shows the resale scenario and its evidence summary, every cost line with its tag, premium and GST flags, the formula in words and the method version.</t>
  </si>
  <si>
    <t xml:space="preserve">We cannot verify</t>
  </si>
  <si>
    <t xml:space="preserve">Items the platform cannot verify</t>
  </si>
  <si>
    <t xml:space="preserve">All categories</t>
  </si>
  <si>
    <t xml:space="preserve">Condition, working order, completeness, hidden damage, accuracy of the auction description, ownership and any money owing on the item.</t>
  </si>
  <si>
    <t xml:space="preserve">Vehicles and trailers</t>
  </si>
  <si>
    <t xml:space="preserve">Odometer accuracy, service history, registration status, finance owing (check the PPSR), accident history.</t>
  </si>
  <si>
    <t xml:space="preserve">Machinery and plant</t>
  </si>
  <si>
    <t xml:space="preserve">Operating hours, tooling and accessories included, electrical supply requirements, guarding and compliance, wear on critical components.</t>
  </si>
  <si>
    <t xml:space="preserve">Power tools</t>
  </si>
  <si>
    <t xml:space="preserve">Battery health, chargers and batteries included, motor wear.</t>
  </si>
  <si>
    <t xml:space="preserve">Electronics and IT</t>
  </si>
  <si>
    <t xml:space="preserve">Activation or account locks, battery health, data wiping, licences included.</t>
  </si>
  <si>
    <t xml:space="preserve">Commercial kitchen</t>
  </si>
  <si>
    <t xml:space="preserve">Gas and electrical compliance, refrigeration performance, parts availability.</t>
  </si>
  <si>
    <t xml:space="preserve">Category list</t>
  </si>
  <si>
    <t xml:space="preserve">Category items are admin settings (tab 27). The general list always shows. Category items are added to it.</t>
  </si>
  <si>
    <t xml:space="preserve">Spec sheet source classes</t>
  </si>
  <si>
    <t xml:space="preserve">Source class</t>
  </si>
  <si>
    <t xml:space="preserve">How it is presented</t>
  </si>
  <si>
    <t xml:space="preserve">Model specifications</t>
  </si>
  <si>
    <t xml:space="preserve">Published by the manufacturer, a dealer or a specification database for this model.</t>
  </si>
  <si>
    <t xml:space="preserve">True of the model. Not confirmed for this unit.</t>
  </si>
  <si>
    <t xml:space="preserve">Observed on this lot</t>
  </si>
  <si>
    <t xml:space="preserve">Read from the lot photos, such as a data plate or a visible unit.</t>
  </si>
  <si>
    <t xml:space="preserve">AI generated label. User can confirm.</t>
  </si>
  <si>
    <t xml:space="preserve">Auctioneer stated</t>
  </si>
  <si>
    <t xml:space="preserve">Taken from the auction listing.</t>
  </si>
  <si>
    <t xml:space="preserve">Extracted. Not independently checked.</t>
  </si>
  <si>
    <t xml:space="preserve">Not verified</t>
  </si>
  <si>
    <t xml:space="preserve">Options, fitted units, hours or condition that no source confirmed for this lot.</t>
  </si>
  <si>
    <t xml:space="preserve">Shown so gaps are visible.</t>
  </si>
  <si>
    <t xml:space="preserve">Conflicts</t>
  </si>
  <si>
    <t xml:space="preserve">When sources disagree, both values show side by side with a conflict flag. The platform does not pick a winner.</t>
  </si>
  <si>
    <t xml:space="preserve">Optional equipment</t>
  </si>
  <si>
    <t xml:space="preserve">Known options for the model are listed and marked Observed, Stated, Absent or Not verified for this lot.</t>
  </si>
  <si>
    <t xml:space="preserve">Not identified</t>
  </si>
  <si>
    <t xml:space="preserve">If the item cannot be identified from text and photos, no specifications are added. The user can enter brand and model, tagged Your input, to trigger enrichment.</t>
  </si>
  <si>
    <t xml:space="preserve">No guessing</t>
  </si>
  <si>
    <t xml:space="preserve">The platform never infers a brand or model to fill a gap.</t>
  </si>
  <si>
    <t xml:space="preserve">Spec sheet section on lot detail and a downloadable PDF spec sheet. Enrichment runs in deep analysis and is included in the credit.</t>
  </si>
  <si>
    <t xml:space="preserve">Disclaimer and Message Library</t>
  </si>
  <si>
    <t xml:space="preserve">Plain, factual and neutral. Values in square brackets are filled by the system. Legal review required before launch.</t>
  </si>
  <si>
    <t xml:space="preserve">Placement</t>
  </si>
  <si>
    <t xml:space="preserve">Text</t>
  </si>
  <si>
    <t xml:space="preserve">Sign up and material terms change</t>
  </si>
  <si>
    <t xml:space="preserve">Clickwrap</t>
  </si>
  <si>
    <t xml:space="preserve">This platform gives estimates to support your decisions. It does not give valuations, financial advice or tax advice. Estimates are based on public information at the date checked and can be wrong. Inspect items and read the auction terms before bidding. You are responsible for your bids.</t>
  </si>
  <si>
    <t xml:space="preserve">DS02</t>
  </si>
  <si>
    <t xml:space="preserve">Every lot detail footer</t>
  </si>
  <si>
    <t xml:space="preserve">Always</t>
  </si>
  <si>
    <t xml:space="preserve">Estimate only, based on the evidence listed and checked on [date]. Condition and working order have not been verified.</t>
  </si>
  <si>
    <t xml:space="preserve">Lot has no defensible comparable</t>
  </si>
  <si>
    <t xml:space="preserve">We could not find enough reliable evidence to estimate a resale value for this lot. Enter your own resale estimate to calculate a bid.</t>
  </si>
  <si>
    <t xml:space="preserve">Resale override</t>
  </si>
  <si>
    <t xml:space="preserve">User enters own resale</t>
  </si>
  <si>
    <t xml:space="preserve">This bid uses your resale estimate of [amount], not the system estimate of [amount]. System confidence does not apply to your figure.</t>
  </si>
  <si>
    <t xml:space="preserve">Above absolute maximum</t>
  </si>
  <si>
    <t xml:space="preserve">Proposed bid exceeds limit</t>
  </si>
  <si>
    <t xml:space="preserve">This bid is above your absolute maximum of [amount]. Estimated profit is below your minimum of [amount].</t>
  </si>
  <si>
    <t xml:space="preserve">Above break even</t>
  </si>
  <si>
    <t xml:space="preserve">Proposed bid exceeds break even</t>
  </si>
  <si>
    <t xml:space="preserve">At this bid you would make an estimated loss of [amount].</t>
  </si>
  <si>
    <t xml:space="preserve">Optimistic reliance</t>
  </si>
  <si>
    <t xml:space="preserve">Target only met on optimistic value</t>
  </si>
  <si>
    <t xml:space="preserve">Your profit target is only met at the optimistic resale value. That value needs good condition and strong demand.</t>
  </si>
  <si>
    <t xml:space="preserve">DS08</t>
  </si>
  <si>
    <t xml:space="preserve">Specification mismatch</t>
  </si>
  <si>
    <t xml:space="preserve">Higher or lower specification comparable</t>
  </si>
  <si>
    <t xml:space="preserve">No exact match was found. This comparable has [more or fewer] features than the lot, so its price has been adjusted [down or up] by [percent].</t>
  </si>
  <si>
    <t xml:space="preserve">Stale price</t>
  </si>
  <si>
    <t xml:space="preserve">Checked more than seven days ago</t>
  </si>
  <si>
    <t xml:space="preserve">This price was checked on [date]. Refresh to check current listings.</t>
  </si>
  <si>
    <t xml:space="preserve">DS10</t>
  </si>
  <si>
    <t xml:space="preserve">GST note</t>
  </si>
  <si>
    <t xml:space="preserve">GST is calculated from your profile setting and the auction terms. This is not tax advice. Confirm your position with your accountant.</t>
  </si>
  <si>
    <t xml:space="preserve">DS11</t>
  </si>
  <si>
    <t xml:space="preserve">Transport line</t>
  </si>
  <si>
    <t xml:space="preserve">Estimated from road distance of [km] at your rate. Actual quotes may differ.</t>
  </si>
  <si>
    <t xml:space="preserve">Premium fallback</t>
  </si>
  <si>
    <t xml:space="preserve">Premium not extracted</t>
  </si>
  <si>
    <t xml:space="preserve">We could not read the buyer's premium from this auction's terms. The platform default of [percent] is used. Check the auction terms.</t>
  </si>
  <si>
    <t xml:space="preserve">DS13</t>
  </si>
  <si>
    <t xml:space="preserve">AI identification</t>
  </si>
  <si>
    <t xml:space="preserve">Identification card</t>
  </si>
  <si>
    <t xml:space="preserve">Identified by AI from the description and photos. Confirm before relying on it.</t>
  </si>
  <si>
    <t xml:space="preserve">Unconfirmed identification</t>
  </si>
  <si>
    <t xml:space="preserve">This identification has not been confirmed. Values may change when you confirm or correct it.</t>
  </si>
  <si>
    <t xml:space="preserve">Selling fees field empty</t>
  </si>
  <si>
    <t xml:space="preserve">No selling fees entered. Your maximum bid may be higher than is safe.</t>
  </si>
  <si>
    <t xml:space="preserve">DS16</t>
  </si>
  <si>
    <t xml:space="preserve">Export footer</t>
  </si>
  <si>
    <t xml:space="preserve">Every PDF and CSV</t>
  </si>
  <si>
    <t xml:space="preserve">Estimates generated on [date] using method version [version]. Not a valuation. Sources, tags and match levels are listed per lot. Verify before bidding.</t>
  </si>
  <si>
    <t xml:space="preserve">Excluded comparables</t>
  </si>
  <si>
    <t xml:space="preserve">User excludes comparables</t>
  </si>
  <si>
    <t xml:space="preserve">You excluded [number] comparables. The expected resale changed from [amount] to [amount].</t>
  </si>
  <si>
    <t xml:space="preserve">DS18</t>
  </si>
  <si>
    <t xml:space="preserve">User adds a comparable</t>
  </si>
  <si>
    <t xml:space="preserve">Added by your organisation. Not independently verified.</t>
  </si>
  <si>
    <t xml:space="preserve">Method update</t>
  </si>
  <si>
    <t xml:space="preserve">Newer method version released</t>
  </si>
  <si>
    <t xml:space="preserve">A newer valuation method is available. This result uses version [version]. Recalculate to use the latest method.</t>
  </si>
  <si>
    <t xml:space="preserve">DS20</t>
  </si>
  <si>
    <t xml:space="preserve">Accuracy page header</t>
  </si>
  <si>
    <t xml:space="preserve">Accuracy is measured against outcomes recorded by users for each category. Past accuracy does not guarantee future results.</t>
  </si>
  <si>
    <t xml:space="preserve">DS21</t>
  </si>
  <si>
    <t xml:space="preserve">Triage figures</t>
  </si>
  <si>
    <t xml:space="preserve">Triage figures are rough estimates from a quick check. Run deep analysis before bidding.</t>
  </si>
  <si>
    <t xml:space="preserve">DS23</t>
  </si>
  <si>
    <t xml:space="preserve">Spec sheet header and PDF footer</t>
  </si>
  <si>
    <t xml:space="preserve">Every spec sheet</t>
  </si>
  <si>
    <t xml:space="preserve">Specifications are taken from the sources linked beside each item. Model specifications describe the model, not this item, unless also listed under Observed on this lot or Auctioneer stated. Details we could not verify are marked Not verified and are not presented as fact. We recommend independent checks before bidding.</t>
  </si>
  <si>
    <t xml:space="preserve">DS24</t>
  </si>
  <si>
    <t xml:space="preserve">Specification conflict</t>
  </si>
  <si>
    <t xml:space="preserve">Sources disagree on a field</t>
  </si>
  <si>
    <t xml:space="preserve">Sources disagree on this detail. Check the item or ask the auctioneer before relying on it.</t>
  </si>
  <si>
    <t xml:space="preserve">DS25</t>
  </si>
  <si>
    <t xml:space="preserve">Item cannot be identified</t>
  </si>
  <si>
    <t xml:space="preserve">We could not identify this item from the description and photos, so no specifications have been added. Enter the brand and model if you know them.</t>
  </si>
  <si>
    <t xml:space="preserve">DS26</t>
  </si>
  <si>
    <t xml:space="preserve">Evidence panel header</t>
  </si>
  <si>
    <t xml:space="preserve">Every evidence panel</t>
  </si>
  <si>
    <t xml:space="preserve">Prices are taken from the sources linked below on the dates shown. Advertised prices are asking prices, not sale prices.</t>
  </si>
  <si>
    <t xml:space="preserve">DS27</t>
  </si>
  <si>
    <t xml:space="preserve">Cheapest comparable figure</t>
  </si>
  <si>
    <t xml:space="preserve">Asking price seen on [date]. It may have sold or changed since.</t>
  </si>
  <si>
    <t xml:space="preserve">DS28</t>
  </si>
  <si>
    <t xml:space="preserve">New price</t>
  </si>
  <si>
    <t xml:space="preserve">New price figure</t>
  </si>
  <si>
    <t xml:space="preserve">Last published new price found on [date]. Current new pricing may differ. If not found: No published new price was found.</t>
  </si>
  <si>
    <t xml:space="preserve">DS29</t>
  </si>
  <si>
    <t xml:space="preserve">Panel header</t>
  </si>
  <si>
    <t xml:space="preserve">These are the sources we checked. No result means we found nothing there, not that nothing exists.</t>
  </si>
  <si>
    <t xml:space="preserve">DS30</t>
  </si>
  <si>
    <t xml:space="preserve">These details cannot be confirmed from a listing. We recommend inspecting the item or asking the auctioneer.</t>
  </si>
  <si>
    <t xml:space="preserve">DS31</t>
  </si>
  <si>
    <t xml:space="preserve">Footer of every lot card</t>
  </si>
  <si>
    <t xml:space="preserve">Estimates only. We recommend independent checks before bidding.</t>
  </si>
  <si>
    <t xml:space="preserve">DS32</t>
  </si>
  <si>
    <t xml:space="preserve">Email and push alerts</t>
  </si>
  <si>
    <t xml:space="preserve">Footer of every notification</t>
  </si>
  <si>
    <t xml:space="preserve">Figures are estimates. Open the lot for sources and details.</t>
  </si>
  <si>
    <t xml:space="preserve">DS33</t>
  </si>
  <si>
    <t xml:space="preserve">Match reason</t>
  </si>
  <si>
    <t xml:space="preserve">Beside each AI match reason</t>
  </si>
  <si>
    <t xml:space="preserve">AI generated from the listing details shown.</t>
  </si>
  <si>
    <t xml:space="preserve">DS34</t>
  </si>
  <si>
    <t xml:space="preserve">Optional equipment checklist</t>
  </si>
  <si>
    <t xml:space="preserve">Checklist footer</t>
  </si>
  <si>
    <t xml:space="preserve">Options marked Not verified may or may not be fitted. Confirm before bidding.</t>
  </si>
  <si>
    <t xml:space="preserve">DS35</t>
  </si>
  <si>
    <t xml:space="preserve">Standard recommendation phrase</t>
  </si>
  <si>
    <t xml:space="preserve">Used wherever a check is recommended</t>
  </si>
  <si>
    <t xml:space="preserve">We recommend independent checks before bidding.</t>
  </si>
  <si>
    <t xml:space="preserve">DS22</t>
  </si>
  <si>
    <t xml:space="preserve">Submit for review</t>
  </si>
  <si>
    <t xml:space="preserve">User submits a shared data correction</t>
  </si>
  <si>
    <t xml:space="preserve">Thanks. Your correction applies to your organisation now. It will apply to everyone once reviewed.</t>
  </si>
  <si>
    <t xml:space="preserve">Placement and style rules</t>
  </si>
  <si>
    <t xml:space="preserve">Detail</t>
  </si>
  <si>
    <t xml:space="preserve">PR01</t>
  </si>
  <si>
    <t xml:space="preserve">Subtle by default</t>
  </si>
  <si>
    <t xml:space="preserve">All notes</t>
  </si>
  <si>
    <t xml:space="preserve">Muted text at 12px directly beneath the element it qualifies, with an info icon that opens the full text. No page banners.</t>
  </si>
  <si>
    <t xml:space="preserve">PR02</t>
  </si>
  <si>
    <t xml:space="preserve">Warnings stand out</t>
  </si>
  <si>
    <t xml:space="preserve">DS05, DS06, DS07, DS15, DS24</t>
  </si>
  <si>
    <t xml:space="preserve">Amber styling beside the figure they affect. Notes use muted grey.</t>
  </si>
  <si>
    <t xml:space="preserve">PR03</t>
  </si>
  <si>
    <t xml:space="preserve">One note per section</t>
  </si>
  <si>
    <t xml:space="preserve">The same note never repeats within one panel or card.</t>
  </si>
  <si>
    <t xml:space="preserve">PR04</t>
  </si>
  <si>
    <t xml:space="preserve">Only one blocking message</t>
  </si>
  <si>
    <t xml:space="preserve">The clickwrap is the only disclaimer that interrupts the user. Everything else sits in context.</t>
  </si>
  <si>
    <t xml:space="preserve">PR05</t>
  </si>
  <si>
    <t xml:space="preserve">Consistent phrasing</t>
  </si>
  <si>
    <t xml:space="preserve">Where a check is recommended, use DS35 word for word.</t>
  </si>
  <si>
    <t xml:space="preserve">PR06</t>
  </si>
  <si>
    <t xml:space="preserve">DS16, DS23</t>
  </si>
  <si>
    <t xml:space="preserve">Every PDF and CSV carries DS16. Spec sheets also carry DS23.</t>
  </si>
  <si>
    <t xml:space="preserve">Coverage map</t>
  </si>
  <si>
    <t xml:space="preserve">Screen or element</t>
  </si>
  <si>
    <t xml:space="preserve">Messages</t>
  </si>
  <si>
    <t xml:space="preserve">Style</t>
  </si>
  <si>
    <t xml:space="preserve">CM01</t>
  </si>
  <si>
    <t xml:space="preserve">Sign up and terms change</t>
  </si>
  <si>
    <t xml:space="preserve">CM02</t>
  </si>
  <si>
    <t xml:space="preserve">Muted note under table header</t>
  </si>
  <si>
    <t xml:space="preserve">CM03</t>
  </si>
  <si>
    <t xml:space="preserve">Muted footer</t>
  </si>
  <si>
    <t xml:space="preserve">CM04</t>
  </si>
  <si>
    <t xml:space="preserve">DS13, DS14</t>
  </si>
  <si>
    <t xml:space="preserve">Muted note and badge</t>
  </si>
  <si>
    <t xml:space="preserve">CM05</t>
  </si>
  <si>
    <t xml:space="preserve">Not identified lot</t>
  </si>
  <si>
    <t xml:space="preserve">Muted note beside entry field</t>
  </si>
  <si>
    <t xml:space="preserve">CM06</t>
  </si>
  <si>
    <t xml:space="preserve">DS23, DS24, DS34</t>
  </si>
  <si>
    <t xml:space="preserve">Muted header, amber conflict flags, checklist footer</t>
  </si>
  <si>
    <t xml:space="preserve">CM07</t>
  </si>
  <si>
    <t xml:space="preserve">DS26, DS08, DS09, DS33</t>
  </si>
  <si>
    <t xml:space="preserve">Muted header, inline notes per comparable</t>
  </si>
  <si>
    <t xml:space="preserve">CM08</t>
  </si>
  <si>
    <t xml:space="preserve">Cheapest advertised and new price</t>
  </si>
  <si>
    <t xml:space="preserve">DS27, DS28</t>
  </si>
  <si>
    <t xml:space="preserve">Muted note under figure</t>
  </si>
  <si>
    <t xml:space="preserve">CM09</t>
  </si>
  <si>
    <t xml:space="preserve">Muted header</t>
  </si>
  <si>
    <t xml:space="preserve">CM10</t>
  </si>
  <si>
    <t xml:space="preserve">CM11</t>
  </si>
  <si>
    <t xml:space="preserve">Insufficient evidence lot</t>
  </si>
  <si>
    <t xml:space="preserve">Muted note in resale field</t>
  </si>
  <si>
    <t xml:space="preserve">CM12</t>
  </si>
  <si>
    <t xml:space="preserve">DS10, DS11, DS12, DS15</t>
  </si>
  <si>
    <t xml:space="preserve">Muted notes, amber flags</t>
  </si>
  <si>
    <t xml:space="preserve">CM13</t>
  </si>
  <si>
    <t xml:space="preserve">Bid slider and limits</t>
  </si>
  <si>
    <t xml:space="preserve">DS04, DS05, DS06, DS07</t>
  </si>
  <si>
    <t xml:space="preserve">Amber warnings beside the figure</t>
  </si>
  <si>
    <t xml:space="preserve">CM14</t>
  </si>
  <si>
    <t xml:space="preserve">User supplied and excluded comparables</t>
  </si>
  <si>
    <t xml:space="preserve">DS17, DS18</t>
  </si>
  <si>
    <t xml:space="preserve">Muted notes</t>
  </si>
  <si>
    <t xml:space="preserve">CM15</t>
  </si>
  <si>
    <t xml:space="preserve">Method update prompt</t>
  </si>
  <si>
    <t xml:space="preserve">Muted note</t>
  </si>
  <si>
    <t xml:space="preserve">CM16</t>
  </si>
  <si>
    <t xml:space="preserve">Watchlist and mobile bid view</t>
  </si>
  <si>
    <t xml:space="preserve">Muted footer on each card</t>
  </si>
  <si>
    <t xml:space="preserve">CM17</t>
  </si>
  <si>
    <t xml:space="preserve">Email and push notifications</t>
  </si>
  <si>
    <t xml:space="preserve">Footer</t>
  </si>
  <si>
    <t xml:space="preserve">CM18</t>
  </si>
  <si>
    <t xml:space="preserve">Report a problem and corrections</t>
  </si>
  <si>
    <t xml:space="preserve">Confirmation message</t>
  </si>
  <si>
    <t xml:space="preserve">CM19</t>
  </si>
  <si>
    <t xml:space="preserve">CM20</t>
  </si>
  <si>
    <t xml:space="preserve">Header and footer</t>
  </si>
  <si>
    <t xml:space="preserve">CM21</t>
  </si>
  <si>
    <t xml:space="preserve">Page header</t>
  </si>
  <si>
    <t xml:space="preserve">Version format</t>
  </si>
  <si>
    <t xml:space="preserve">Major, minor and patch numbers. Major changes the maths or scoring approach. Minor changes weights or thresholds. Patch fixes errors without changing intended results.</t>
  </si>
  <si>
    <t xml:space="preserve">Release process</t>
  </si>
  <si>
    <t xml:space="preserve">Change proposed with evidence from outcome data, tested against recorded outcomes, approved, released with a changelog entry and a new method_versions row.</t>
  </si>
  <si>
    <t xml:space="preserve">Existing results</t>
  </si>
  <si>
    <t xml:space="preserve">Every valuation keeps the version that produced it. Users see a newer method prompt and choose when to recalculate. The old result stays viewable.</t>
  </si>
  <si>
    <t xml:space="preserve">Every method release and data source change is published with a plain English summary.</t>
  </si>
  <si>
    <t xml:space="preserve">Correction review workflow</t>
  </si>
  <si>
    <t xml:space="preserve">What happens</t>
  </si>
  <si>
    <t xml:space="preserve">User reports a problem or submits a correction with optional evidence. Their own organisation sees the change immediately.</t>
  </si>
  <si>
    <t xml:space="preserve">Queue</t>
  </si>
  <si>
    <t xml:space="preserve">If the change would alter shared data it creates a correction review. The submitting organisation is hidden from other users.</t>
  </si>
  <si>
    <t xml:space="preserve">Review</t>
  </si>
  <si>
    <t xml:space="preserve">Platform admin checks the evidence and approves, rejects or edits the correction.</t>
  </si>
  <si>
    <t xml:space="preserve">Apply</t>
  </si>
  <si>
    <t xml:space="preserve">Approved changes update the shared record with provenance recorded and an audit entry.</t>
  </si>
  <si>
    <t xml:space="preserve">Notify</t>
  </si>
  <si>
    <t xml:space="preserve">Submitter is told the outcome. Affected analyses in other organisations show a refreshed data notice, never a silent change.</t>
  </si>
  <si>
    <t xml:space="preserve">Problem reports</t>
  </si>
  <si>
    <t xml:space="preserve">Where</t>
  </si>
  <si>
    <t xml:space="preserve">Report a problem on every lot, identification and comparable.</t>
  </si>
  <si>
    <t xml:space="preserve">Wrong item, wrong price, broken link, wrong premium, other.</t>
  </si>
  <si>
    <t xml:space="preserve">Response targets</t>
  </si>
  <si>
    <t xml:space="preserve">Acknowledged automatically. Reviewed within two business days during internal use. Targets reset at commercial launch.</t>
  </si>
  <si>
    <t xml:space="preserve">Reports feed extractor fixes, correction reviews and method calibration.</t>
  </si>
  <si>
    <t xml:space="preserve">Accuracy publishing</t>
  </si>
  <si>
    <t xml:space="preserve">Minimum sample</t>
  </si>
  <si>
    <t xml:space="preserve">At least 30 recorded outcomes in a category before its accuracy is published.</t>
  </si>
  <si>
    <t xml:space="preserve">Measures</t>
  </si>
  <si>
    <t xml:space="preserve">Share of actual resales within 15 percent of expected resale, and share at or above conservative resale.</t>
  </si>
  <si>
    <t xml:space="preserve">Update frequency</t>
  </si>
  <si>
    <t xml:space="preserve">Monthly, stamped with method version and period.</t>
  </si>
  <si>
    <t xml:space="preserve">Categories below minimum</t>
  </si>
  <si>
    <t xml:space="preserve">Shown as Not enough data yet.</t>
  </si>
  <si>
    <t xml:space="preserve">Internal tracking from the MVP. Public page at or after commercial launch.</t>
  </si>
  <si>
    <t xml:space="preserve">Admin setting changes</t>
  </si>
  <si>
    <t xml:space="preserve">Change log</t>
  </si>
  <si>
    <t xml:space="preserve">Every platform setting change records old value, new value, who, when and a required reason.</t>
  </si>
  <si>
    <t xml:space="preserve">Effect</t>
  </si>
  <si>
    <t xml:space="preserve">Applies to new analyses and valuations. Existing results keep the values stamped on them.</t>
  </si>
  <si>
    <t xml:space="preserve">Platform admins only. Ashleigh during internal use.</t>
  </si>
  <si>
    <t xml:space="preserve">MaxBid  |  maxbid.com.au</t>
  </si>
  <si>
    <t xml:space="preserve">Positioning statement</t>
  </si>
  <si>
    <t xml:space="preserve">For Australian resellers who buy at auction, MaxBid tells you what a lot is really worth and the most you should pay, with every number backed by evidence you can check.</t>
  </si>
  <si>
    <t xml:space="preserve">Auction bid intelligence.</t>
  </si>
  <si>
    <t xml:space="preserve">Core promise</t>
  </si>
  <si>
    <t xml:space="preserve">Know the most you should pay before the hammer falls.</t>
  </si>
  <si>
    <t xml:space="preserve">Proof points</t>
  </si>
  <si>
    <t xml:space="preserve">Evidence on every figure. Full acquisition costs including premium, GST and transport. Conservative by default. Public method and accuracy.</t>
  </si>
  <si>
    <t xml:space="preserve">Enemy</t>
  </si>
  <si>
    <t xml:space="preserve">Bidding on gut feel, and research that takes longer than the auction.</t>
  </si>
  <si>
    <t xml:space="preserve">Personality: Sharp insider</t>
  </si>
  <si>
    <t xml:space="preserve">Confident</t>
  </si>
  <si>
    <t xml:space="preserve">Knows how auctions work and explains it clearly. States what the evidence shows and what it does not.</t>
  </si>
  <si>
    <t xml:space="preserve">Warm and direct</t>
  </si>
  <si>
    <t xml:space="preserve">Talks to the reader as a knowledgeable friend would. Uses you and we.</t>
  </si>
  <si>
    <t xml:space="preserve">Plain speaking</t>
  </si>
  <si>
    <t xml:space="preserve">Complete sentences in everyday words. Every figure and term is explained. Australian English.</t>
  </si>
  <si>
    <t xml:space="preserve">On the buyer's side</t>
  </si>
  <si>
    <t xml:space="preserve">Protects the user's profit, including from the excitement of a live auction.</t>
  </si>
  <si>
    <t xml:space="preserve">Wit</t>
  </si>
  <si>
    <t xml:space="preserve">Allowed only in taglines and social posts, and only when the meaning is still obvious. Never in explanations, instructions, figures, warnings or disclaimers.</t>
  </si>
  <si>
    <t xml:space="preserve">Writing rules</t>
  </si>
  <si>
    <t xml:space="preserve">WR01</t>
  </si>
  <si>
    <t xml:space="preserve">Write complete sentences</t>
  </si>
  <si>
    <t xml:space="preserve">Every sentence in body copy has a subject and a verb. No sentence fragments such as Every cost. Every credit. One number.</t>
  </si>
  <si>
    <t xml:space="preserve">WR02</t>
  </si>
  <si>
    <t xml:space="preserve">Use everyday words</t>
  </si>
  <si>
    <t xml:space="preserve">Choose the word a customer would use. Say counts more towards the estimate rather than weighs the most.</t>
  </si>
  <si>
    <t xml:space="preserve">WR03</t>
  </si>
  <si>
    <t xml:space="preserve">Explain terms the first time</t>
  </si>
  <si>
    <t xml:space="preserve">Define target bid, absolute maximum, stop line, comparable, buyer's premium, triage and credit where they first appear on a page.</t>
  </si>
  <si>
    <t xml:space="preserve">WR04</t>
  </si>
  <si>
    <t xml:space="preserve">Say who does what</t>
  </si>
  <si>
    <t xml:space="preserve">Use active voice. We reduced the price by 10 percent, rather than Price adjusted.</t>
  </si>
  <si>
    <t xml:space="preserve">WR05</t>
  </si>
  <si>
    <t xml:space="preserve">Keep the reason</t>
  </si>
  <si>
    <t xml:space="preserve">One idea per sentence, but keep the linking words such as because, so and which that explain why.</t>
  </si>
  <si>
    <t xml:space="preserve">WR06</t>
  </si>
  <si>
    <t xml:space="preserve">No slang or metaphors in explanations</t>
  </si>
  <si>
    <t xml:space="preserve">Avoid phrases such as knock out, receipts, your number or marks. Say what the thing actually is.</t>
  </si>
  <si>
    <t xml:space="preserve">WR07</t>
  </si>
  <si>
    <t xml:space="preserve">Tell people what they can do</t>
  </si>
  <si>
    <t xml:space="preserve">Instructions say the action and the result. Select any square to see where the price came from.</t>
  </si>
  <si>
    <t xml:space="preserve">WR08</t>
  </si>
  <si>
    <t xml:space="preserve">Headings make sense alone</t>
  </si>
  <si>
    <t xml:space="preserve">Short headings are fine, but every heading is followed by a plain sentence that explains the section.</t>
  </si>
  <si>
    <t xml:space="preserve">WR09</t>
  </si>
  <si>
    <t xml:space="preserve">Name every figure</t>
  </si>
  <si>
    <t xml:space="preserve">Always say what a number is. An estimated profit of $4,000, rather than $4,000 on its own.</t>
  </si>
  <si>
    <t xml:space="preserve">WR10</t>
  </si>
  <si>
    <t xml:space="preserve">Reading level</t>
  </si>
  <si>
    <t xml:space="preserve">Aim for a reading age of about 12 to 14 years. Check key pages with a readability tool before publishing.</t>
  </si>
  <si>
    <t xml:space="preserve">WR11</t>
  </si>
  <si>
    <t xml:space="preserve">Data labels</t>
  </si>
  <si>
    <t xml:space="preserve">Short uppercase labels such as TARGET BID are allowed only as labels on figures, never as sentences.</t>
  </si>
  <si>
    <t xml:space="preserve">WR12</t>
  </si>
  <si>
    <t xml:space="preserve">House rules</t>
  </si>
  <si>
    <t xml:space="preserve">Australian English. No dashes of any kind. No keynote style contrasting sentences.</t>
  </si>
  <si>
    <t xml:space="preserve">Before and after</t>
  </si>
  <si>
    <t xml:space="preserve">Before</t>
  </si>
  <si>
    <t xml:space="preserve">After</t>
  </si>
  <si>
    <t xml:space="preserve">Every comparable we found, on one line. Sold results weigh the most. Close matches weigh more than loose ones. Tap any mark to see its source, and knock out the ones you think are wrong.</t>
  </si>
  <si>
    <t xml:space="preserve">This chart shows every comparable sale and listing we found for this machine, placed by price. Prices from completed sales count more towards the estimate than asking prices. Items that closely match this machine also count more than items that are only similar. Select any square to see where the price came from. If you think a comparable is wrong, you can remove it and the estimate will update.</t>
  </si>
  <si>
    <t xml:space="preserve">Every cost. Every credit. One number.</t>
  </si>
  <si>
    <t xml:space="preserve">This docket adds up every cost of buying the lot, including the buyer's premium, GST, transport and repairs. It then works out the most you should pay to make your target profit.</t>
  </si>
  <si>
    <t xml:space="preserve">MaxBid gives you your number before the hammer falls.</t>
  </si>
  <si>
    <t xml:space="preserve">MaxBid works out the most you should pay for a lot before the auction closes.</t>
  </si>
  <si>
    <t xml:space="preserve">Auction listings are written in a hurry.</t>
  </si>
  <si>
    <t xml:space="preserve">Auction listings are often short and missing important details.</t>
  </si>
  <si>
    <t xml:space="preserve">They paid past break even. You kept your margin.</t>
  </si>
  <si>
    <t xml:space="preserve">The winning bidder paid more than the price where you would break even. You did not overpay.</t>
  </si>
  <si>
    <t xml:space="preserve">Triage is free. Credits pay for deep analysis.</t>
  </si>
  <si>
    <t xml:space="preserve">Ranking every lot in a catalogue is free. A detailed analysis of one lot uses one credit.</t>
  </si>
  <si>
    <t xml:space="preserve">Voice examples</t>
  </si>
  <si>
    <t xml:space="preserve">Headline</t>
  </si>
  <si>
    <t xml:space="preserve">Social line</t>
  </si>
  <si>
    <t xml:space="preserve">Stop bidding on vibes.</t>
  </si>
  <si>
    <t xml:space="preserve">Empty state</t>
  </si>
  <si>
    <t xml:space="preserve">Your watchlist is empty. Add lots from any analysis to track them here.</t>
  </si>
  <si>
    <t xml:space="preserve">Warning</t>
  </si>
  <si>
    <t xml:space="preserve">At this bid you would make an estimated loss of $1,240.</t>
  </si>
  <si>
    <t xml:space="preserve">Tagline candidates</t>
  </si>
  <si>
    <t xml:space="preserve">Tagline</t>
  </si>
  <si>
    <t xml:space="preserve">T01</t>
  </si>
  <si>
    <t xml:space="preserve">Primary. Clear promise.</t>
  </si>
  <si>
    <t xml:space="preserve">T02</t>
  </si>
  <si>
    <t xml:space="preserve">See the evidence behind every bid.</t>
  </si>
  <si>
    <t xml:space="preserve">Transparency angle.</t>
  </si>
  <si>
    <t xml:space="preserve">T03</t>
  </si>
  <si>
    <t xml:space="preserve">Every cost of buying a lot, added up into one clear figure.</t>
  </si>
  <si>
    <t xml:space="preserve">Descriptive. Good for ads.</t>
  </si>
  <si>
    <t xml:space="preserve">T04</t>
  </si>
  <si>
    <t xml:space="preserve">Social and campaign line.</t>
  </si>
  <si>
    <t xml:space="preserve">T05</t>
  </si>
  <si>
    <t xml:space="preserve">The most you should pay, with the working shown.</t>
  </si>
  <si>
    <t xml:space="preserve">Calculator angle.</t>
  </si>
  <si>
    <t xml:space="preserve">Logo direction</t>
  </si>
  <si>
    <t xml:space="preserve">Wordmark</t>
  </si>
  <si>
    <t xml:space="preserve">MaxBid in Barlow bold. Always written MaxBid: capital M, capital B, one word. A marker yellow stop line sits beneath Bid.</t>
  </si>
  <si>
    <t xml:space="preserve">Mark</t>
  </si>
  <si>
    <t xml:space="preserve">The stop line: a heavy horizontal bar in marker yellow, taken from the bid limit marker. It doubles as the active tab marker and loading motif.</t>
  </si>
  <si>
    <t xml:space="preserve">Favicon and app icon</t>
  </si>
  <si>
    <t xml:space="preserve">Marker yellow stop line on a navy square with a thin cyan frame.</t>
  </si>
  <si>
    <t xml:space="preserve">Consistency</t>
  </si>
  <si>
    <t xml:space="preserve">One name (MaxBid), one domain (maxbid.com.au), one description used everywhere: site, social, directories and schema. Pair the name with Australia in bios and early content so search engines and AI models separate MaxBid from overseas businesses with similar names.</t>
  </si>
  <si>
    <t xml:space="preserve">Visual Identity and CSS</t>
  </si>
  <si>
    <t xml:space="preserve">Blueprint direction, based on engineering drawings. Signed off 22 September 2026.</t>
  </si>
  <si>
    <t xml:space="preserve">Brand palette</t>
  </si>
  <si>
    <t xml:space="preserve">Colour</t>
  </si>
  <si>
    <t xml:space="preserve">Value</t>
  </si>
  <si>
    <t xml:space="preserve">Blueprint navy</t>
  </si>
  <si>
    <t xml:space="preserve">Header, footer and feature panels</t>
  </si>
  <si>
    <t xml:space="preserve">Always paired with white text and cyan lines</t>
  </si>
  <si>
    <t xml:space="preserve">Cool off white</t>
  </si>
  <si>
    <t xml:space="preserve">Line cyan</t>
  </si>
  <si>
    <t xml:space="preserve">Frame lines, labels and title blocks on navy</t>
  </si>
  <si>
    <t xml:space="preserve">Decorative and label use only on navy</t>
  </si>
  <si>
    <t xml:space="preserve">Marker yellow</t>
  </si>
  <si>
    <t xml:space="preserve">#FFD23F</t>
  </si>
  <si>
    <t xml:space="preserve">Primary buttons, stop line, most you should bid</t>
  </si>
  <si>
    <t xml:space="preserve">Always with ink text. Never used for status</t>
  </si>
  <si>
    <t xml:space="preserve">Pen blue</t>
  </si>
  <si>
    <t xml:space="preserve">Links, icons, index numbers, Your input tag</t>
  </si>
  <si>
    <t xml:space="preserve">Ink</t>
  </si>
  <si>
    <t xml:space="preserve">Status colours</t>
  </si>
  <si>
    <t xml:space="preserve">#1E7A52, #B45309, #B91C1C</t>
  </si>
  <si>
    <t xml:space="preserve">On target, below target, loss risk</t>
  </si>
  <si>
    <t xml:space="preserve">Always with a text label</t>
  </si>
  <si>
    <t xml:space="preserve">Font</t>
  </si>
  <si>
    <t xml:space="preserve">Headings and figures</t>
  </si>
  <si>
    <t xml:space="preserve">Barlow 700 to 800</t>
  </si>
  <si>
    <t xml:space="preserve">Headlines, bid figures, card titles</t>
  </si>
  <si>
    <t xml:space="preserve">Fluid size with clamp. Normal capitalisation</t>
  </si>
  <si>
    <t xml:space="preserve">Body and interface</t>
  </si>
  <si>
    <t xml:space="preserve">Barlow 400 to 600</t>
  </si>
  <si>
    <t xml:space="preserve">Body text, buttons, forms</t>
  </si>
  <si>
    <t xml:space="preserve">Tabular figures on for every number</t>
  </si>
  <si>
    <t xml:space="preserve">Labels and data</t>
  </si>
  <si>
    <t xml:space="preserve">Space Mono 400 to 700</t>
  </si>
  <si>
    <t xml:space="preserve">Lot numbers, data labels, title blocks, tags</t>
  </si>
  <si>
    <t xml:space="preserve">Uppercase labels with wide letter spacing</t>
  </si>
  <si>
    <t xml:space="preserve">Blueprint details</t>
  </si>
  <si>
    <t xml:space="preserve">B01</t>
  </si>
  <si>
    <t xml:space="preserve">Drawing sheet frame</t>
  </si>
  <si>
    <t xml:space="preserve">Navy panels carry a double inset frame in line cyan, like the border of a drawing sheet.</t>
  </si>
  <si>
    <t xml:space="preserve">B02</t>
  </si>
  <si>
    <t xml:space="preserve">Title block</t>
  </si>
  <si>
    <t xml:space="preserve">The homepage header carries a small title block in the corner: project, sheet and region.</t>
  </si>
  <si>
    <t xml:space="preserve">B03</t>
  </si>
  <si>
    <t xml:space="preserve">Detail labels</t>
  </si>
  <si>
    <t xml:space="preserve">Result cards are labelled DETAIL A, DETAIL B and so on in a navy tab, like views on a drawing.</t>
  </si>
  <si>
    <t xml:space="preserve">B04</t>
  </si>
  <si>
    <t xml:space="preserve">Mono labels</t>
  </si>
  <si>
    <t xml:space="preserve">Small uppercase Space Mono labels above figures, such as MOST YOU SHOULD BID.</t>
  </si>
  <si>
    <t xml:space="preserve">B05</t>
  </si>
  <si>
    <t xml:space="preserve">Leader dots</t>
  </si>
  <si>
    <t xml:space="preserve">Dotted leader lines connect labels to figures in cost lists and side panels.</t>
  </si>
  <si>
    <t xml:space="preserve">B06</t>
  </si>
  <si>
    <t xml:space="preserve">Measurement lines</t>
  </si>
  <si>
    <t xml:space="preserve">Dimension lines with end ticks mark totals, such as the split bar on the homepage.</t>
  </si>
  <si>
    <t xml:space="preserve">B07</t>
  </si>
  <si>
    <t xml:space="preserve">Line icons</t>
  </si>
  <si>
    <t xml:space="preserve">Simple 1.4px stroke icons in pen blue for categories and actions.</t>
  </si>
  <si>
    <t xml:space="preserve">B08</t>
  </si>
  <si>
    <t xml:space="preserve">Sharp geometry</t>
  </si>
  <si>
    <t xml:space="preserve">2px corner radius. Hairline borders instead of shadows.</t>
  </si>
  <si>
    <t xml:space="preserve">B09</t>
  </si>
  <si>
    <t xml:space="preserve">Yellow means act</t>
  </si>
  <si>
    <t xml:space="preserve">Marker yellow appears only on the main action and the most you should bid figure, so the eye goes there first.</t>
  </si>
  <si>
    <t xml:space="preserve">B10</t>
  </si>
  <si>
    <t xml:space="preserve">Avoid</t>
  </si>
  <si>
    <t xml:space="preserve">Gradient blobs, glassmorphism, stock photos, generic AI sparkle icons, soft rounded cards with heavy shadows.</t>
  </si>
  <si>
    <t xml:space="preserve">CSS architecture</t>
  </si>
  <si>
    <t xml:space="preserve">C01</t>
  </si>
  <si>
    <t xml:space="preserve">Tokens</t>
  </si>
  <si>
    <t xml:space="preserve">All colour, type, spacing, radius and motion values defined once as CSS variables in the Tailwind v4 theme. Semantic names only: ink, surface, accent, zone_green.</t>
  </si>
  <si>
    <t xml:space="preserve">C02</t>
  </si>
  <si>
    <t xml:space="preserve">Theming</t>
  </si>
  <si>
    <t xml:space="preserve">Light pages by default with a navy panel token set for headers and feature panels. A dark app theme can be added later from the same tokens.</t>
  </si>
  <si>
    <t xml:space="preserve">C03</t>
  </si>
  <si>
    <t xml:space="preserve">Components</t>
  </si>
  <si>
    <t xml:space="preserve">shadcn/ui restyled to the tokens. One component library shared by site and app.</t>
  </si>
  <si>
    <t xml:space="preserve">C04</t>
  </si>
  <si>
    <t xml:space="preserve">Layout</t>
  </si>
  <si>
    <t xml:space="preserve">CSS grid for page structure, container queries for cards, logical properties for spacing.</t>
  </si>
  <si>
    <t xml:space="preserve">C05</t>
  </si>
  <si>
    <t xml:space="preserve">Fluid type</t>
  </si>
  <si>
    <t xml:space="preserve">clamp based type scale so headings scale smoothly from phone to desktop.</t>
  </si>
  <si>
    <t xml:space="preserve">C06</t>
  </si>
  <si>
    <t xml:space="preserve">Focus</t>
  </si>
  <si>
    <t xml:space="preserve">3px marker yellow focus outline with offset on every interactive element. Never removed.</t>
  </si>
  <si>
    <t xml:space="preserve">C07</t>
  </si>
  <si>
    <t xml:space="preserve">Performance</t>
  </si>
  <si>
    <t xml:space="preserve">Marketing pages are server components with minimal client JavaScript. Fonts self hosted. Images through next/image in AVIF or WebP.</t>
  </si>
  <si>
    <t xml:space="preserve">C08</t>
  </si>
  <si>
    <t xml:space="preserve">Motion</t>
  </si>
  <si>
    <t xml:space="preserve">Durations and easing as tokens. All animation wrapped in a reduced motion media query.</t>
  </si>
  <si>
    <t xml:space="preserve">C09</t>
  </si>
  <si>
    <t xml:space="preserve">App tables support standard and comfortable density through a single token switch.</t>
  </si>
  <si>
    <t xml:space="preserve">C10</t>
  </si>
  <si>
    <t xml:space="preserve">Quality gates</t>
  </si>
  <si>
    <t xml:space="preserve">Visual regression snapshots of key components, contrast tests and axe checks in CI.</t>
  </si>
  <si>
    <t xml:space="preserve">Public Website and SEO</t>
  </si>
  <si>
    <t xml:space="preserve">maxbid.com.au is the marketing site. app.maxbid.com.au is the app and is noindex.</t>
  </si>
  <si>
    <t xml:space="preserve">Path</t>
  </si>
  <si>
    <t xml:space="preserve">Page</t>
  </si>
  <si>
    <t xml:space="preserve">Search intent</t>
  </si>
  <si>
    <t xml:space="preserve">Schema</t>
  </si>
  <si>
    <t xml:space="preserve">Content notes</t>
  </si>
  <si>
    <t xml:space="preserve">/</t>
  </si>
  <si>
    <t xml:space="preserve">Home</t>
  </si>
  <si>
    <t xml:space="preserve">Brand and product: auction bid calculator Australia</t>
  </si>
  <si>
    <t xml:space="preserve">WebSite, Organization, SoftwareApplication</t>
  </si>
  <si>
    <t xml:space="preserve">Drawing sheet header with search tabs, sample result detail cards, category tiles, auctions closing soon, split bar explanation, Auction Breakdown panel, popular guides</t>
  </si>
  <si>
    <t xml:space="preserve">/how-it-works</t>
  </si>
  <si>
    <t xml:space="preserve">How it works</t>
  </si>
  <si>
    <t xml:space="preserve">How to value auction lots</t>
  </si>
  <si>
    <t xml:space="preserve">WebPage, HowTo</t>
  </si>
  <si>
    <t xml:space="preserve">Journey from tab 06 with real UI</t>
  </si>
  <si>
    <t xml:space="preserve">/pricing</t>
  </si>
  <si>
    <t xml:space="preserve">Pricing</t>
  </si>
  <si>
    <t xml:space="preserve">Pricing intent</t>
  </si>
  <si>
    <t xml:space="preserve">SoftwareApplication with offers</t>
  </si>
  <si>
    <t xml:space="preserve">Tiers from tab 18, credit explainer, FAQ</t>
  </si>
  <si>
    <t xml:space="preserve">/methodology</t>
  </si>
  <si>
    <t xml:space="preserve">Methodology</t>
  </si>
  <si>
    <t xml:space="preserve">How auction valuations work</t>
  </si>
  <si>
    <t xml:space="preserve">Article</t>
  </si>
  <si>
    <t xml:space="preserve">Public version of tabs 08 and 10. Key trust and AI citation asset</t>
  </si>
  <si>
    <t xml:space="preserve">/accuracy</t>
  </si>
  <si>
    <t xml:space="preserve">Is it accurate</t>
  </si>
  <si>
    <t xml:space="preserve">Dataset, Article</t>
  </si>
  <si>
    <t xml:space="preserve">Published accuracy by category (tab 31)</t>
  </si>
  <si>
    <t xml:space="preserve">/changelog</t>
  </si>
  <si>
    <t xml:space="preserve">Changelog</t>
  </si>
  <si>
    <t xml:space="preserve">Trust and freshness</t>
  </si>
  <si>
    <t xml:space="preserve">Article per entry</t>
  </si>
  <si>
    <t xml:space="preserve">Method and data source releases</t>
  </si>
  <si>
    <t xml:space="preserve">/calculators/max-bid</t>
  </si>
  <si>
    <t xml:space="preserve">Max bid calculator</t>
  </si>
  <si>
    <t xml:space="preserve">auction max bid calculator, buyer's premium calculator</t>
  </si>
  <si>
    <t xml:space="preserve">WebApplication</t>
  </si>
  <si>
    <t xml:space="preserve">Free public calculator from tab 10. Strong link magnet</t>
  </si>
  <si>
    <t xml:space="preserve">/calculators/gst-auction</t>
  </si>
  <si>
    <t xml:space="preserve">GST on auction purchases</t>
  </si>
  <si>
    <t xml:space="preserve">GST on auction items Australia</t>
  </si>
  <si>
    <t xml:space="preserve">WebApplication, FAQPage</t>
  </si>
  <si>
    <t xml:space="preserve">Free calculator with plain explanation and not tax advice note</t>
  </si>
  <si>
    <t xml:space="preserve">/auctions/grays</t>
  </si>
  <si>
    <t xml:space="preserve">Grays guide</t>
  </si>
  <si>
    <t xml:space="preserve">Grays buyer's premium, how to buy on Grays</t>
  </si>
  <si>
    <t xml:space="preserve">Article, FAQPage</t>
  </si>
  <si>
    <t xml:space="preserve">One guide per supported auction house. Premium facts dated and sourced</t>
  </si>
  <si>
    <t xml:space="preserve">/auctions/pickles</t>
  </si>
  <si>
    <t xml:space="preserve">Pickles guide</t>
  </si>
  <si>
    <t xml:space="preserve">As above for Pickles</t>
  </si>
  <si>
    <t xml:space="preserve">/auctions/lloyds</t>
  </si>
  <si>
    <t xml:space="preserve">Lloyds guide</t>
  </si>
  <si>
    <t xml:space="preserve">As above for Lloyds</t>
  </si>
  <si>
    <t xml:space="preserve">/breakdowns</t>
  </si>
  <si>
    <t xml:space="preserve">Auction Breakdowns hub</t>
  </si>
  <si>
    <t xml:space="preserve">Undervalued auction lots this week</t>
  </si>
  <si>
    <t xml:space="preserve">CollectionPage</t>
  </si>
  <si>
    <t xml:space="preserve">Weekly breakdowns (tab 37)</t>
  </si>
  <si>
    <t xml:space="preserve">/breakdowns/[slug]</t>
  </si>
  <si>
    <t xml:space="preserve">Auction Breakdown</t>
  </si>
  <si>
    <t xml:space="preserve">Specific auction name and category</t>
  </si>
  <si>
    <t xml:space="preserve">Top lots with estimates, confidence and links. No copied photos</t>
  </si>
  <si>
    <t xml:space="preserve">/value/[category]/[brand]/[model]</t>
  </si>
  <si>
    <t xml:space="preserve">Value guide</t>
  </si>
  <si>
    <t xml:space="preserve">[brand] [model] price guide Australia, used [model] value</t>
  </si>
  <si>
    <t xml:space="preserve">WebPage, Dataset, BreadcrumbList</t>
  </si>
  <si>
    <t xml:space="preserve">Programmatic pages (tab 35)</t>
  </si>
  <si>
    <t xml:space="preserve">/value/[category]</t>
  </si>
  <si>
    <t xml:space="preserve">Category hub</t>
  </si>
  <si>
    <t xml:space="preserve">Used [category] prices Australia</t>
  </si>
  <si>
    <t xml:space="preserve">CollectionPage, BreadcrumbList</t>
  </si>
  <si>
    <t xml:space="preserve">Links every guide in the category</t>
  </si>
  <si>
    <t xml:space="preserve">/learn</t>
  </si>
  <si>
    <t xml:space="preserve">Learn hub</t>
  </si>
  <si>
    <t xml:space="preserve">Auction buying guides</t>
  </si>
  <si>
    <t xml:space="preserve">Evergreen guides and glossary</t>
  </si>
  <si>
    <t xml:space="preserve">/learn/glossary/[term]</t>
  </si>
  <si>
    <t xml:space="preserve">Glossary term</t>
  </si>
  <si>
    <t xml:space="preserve">What is hammer price, buyer's premium, passed in</t>
  </si>
  <si>
    <t xml:space="preserve">DefinedTerm, Article</t>
  </si>
  <si>
    <t xml:space="preserve">Short answer first definitions. High AI citation potential</t>
  </si>
  <si>
    <t xml:space="preserve">/learn/[guide]</t>
  </si>
  <si>
    <t xml:space="preserve">Guide</t>
  </si>
  <si>
    <t xml:space="preserve">How to flip auction items, how to inspect used machinery</t>
  </si>
  <si>
    <t xml:space="preserve">Written with real examples and our data</t>
  </si>
  <si>
    <t xml:space="preserve">/compare/[alternative]</t>
  </si>
  <si>
    <t xml:space="preserve">Comparison</t>
  </si>
  <si>
    <t xml:space="preserve">MaxBid vs manual research, vs eBay Product Research</t>
  </si>
  <si>
    <t xml:space="preserve">Fair, factual comparisons</t>
  </si>
  <si>
    <t xml:space="preserve">/about</t>
  </si>
  <si>
    <t xml:space="preserve">About</t>
  </si>
  <si>
    <t xml:space="preserve">Brand and founders</t>
  </si>
  <si>
    <t xml:space="preserve">AboutPage, Organization, Person</t>
  </si>
  <si>
    <t xml:space="preserve">Founder story, real people, Perth based. E E A T signal</t>
  </si>
  <si>
    <t xml:space="preserve">/contact, /legal/*</t>
  </si>
  <si>
    <t xml:space="preserve">Contact and legal</t>
  </si>
  <si>
    <t xml:space="preserve">Trust</t>
  </si>
  <si>
    <t xml:space="preserve">ContactPage</t>
  </si>
  <si>
    <t xml:space="preserve">Terms, privacy, disclaimers from tabs 20 and 30</t>
  </si>
  <si>
    <t xml:space="preserve">Technical SEO checklist</t>
  </si>
  <si>
    <t xml:space="preserve">TS01</t>
  </si>
  <si>
    <t xml:space="preserve">Rendering</t>
  </si>
  <si>
    <t xml:space="preserve">Static generation or incremental regeneration for every public page. No client only content.</t>
  </si>
  <si>
    <t xml:space="preserve">TS02</t>
  </si>
  <si>
    <t xml:space="preserve">Metadata</t>
  </si>
  <si>
    <t xml:space="preserve">Unique title and description per page through the Next.js metadata API. Titles under 60 characters.</t>
  </si>
  <si>
    <t xml:space="preserve">TS03</t>
  </si>
  <si>
    <t xml:space="preserve">Canonicals</t>
  </si>
  <si>
    <t xml:space="preserve">Self referencing canonical on every page. Parameter URLs canonicalised.</t>
  </si>
  <si>
    <t xml:space="preserve">TS04</t>
  </si>
  <si>
    <t xml:space="preserve">Sitemaps</t>
  </si>
  <si>
    <t xml:space="preserve">Segmented sitemaps for static pages, breakdowns, value guides and glossary, regenerated on publish.</t>
  </si>
  <si>
    <t xml:space="preserve">TS05</t>
  </si>
  <si>
    <t xml:space="preserve">Robots</t>
  </si>
  <si>
    <t xml:space="preserve">App subdomain noindex and disallowed. Crawler policy from tab 36.</t>
  </si>
  <si>
    <t xml:space="preserve">TS06</t>
  </si>
  <si>
    <t xml:space="preserve">Locale</t>
  </si>
  <si>
    <t xml:space="preserve">html lang en AU, Australian spelling, AUD prices, Australian business details in Organization schema.</t>
  </si>
  <si>
    <t xml:space="preserve">TS07</t>
  </si>
  <si>
    <t xml:space="preserve">LCP under 2.5s, INP under 200ms, CLS under 0.1 at the 75th percentile.</t>
  </si>
  <si>
    <t xml:space="preserve">TS08</t>
  </si>
  <si>
    <t xml:space="preserve">Images</t>
  </si>
  <si>
    <t xml:space="preserve">next/image, AVIF or WebP, explicit dimensions, descriptive alt text.</t>
  </si>
  <si>
    <t xml:space="preserve">TS09</t>
  </si>
  <si>
    <t xml:space="preserve">Internal links</t>
  </si>
  <si>
    <t xml:space="preserve">Breadcrumbs on every page. Guides link to category hubs, related models and the calculator. Breakdowns link to value guides.</t>
  </si>
  <si>
    <t xml:space="preserve">TS10</t>
  </si>
  <si>
    <t xml:space="preserve">JSON LD per page type in the table above, validated in CI.</t>
  </si>
  <si>
    <t xml:space="preserve">TS11</t>
  </si>
  <si>
    <t xml:space="preserve">Open Graph</t>
  </si>
  <si>
    <t xml:space="preserve">Generated share image, title and description for every page.</t>
  </si>
  <si>
    <t xml:space="preserve">TS12</t>
  </si>
  <si>
    <t xml:space="preserve">Indexing</t>
  </si>
  <si>
    <t xml:space="preserve">Search Console and Bing Webmaster Tools verified. IndexNow pings on publish.</t>
  </si>
  <si>
    <t xml:space="preserve">TS13</t>
  </si>
  <si>
    <t xml:space="preserve">Errors and redirects</t>
  </si>
  <si>
    <t xml:space="preserve">Custom 404 with search and popular links. Permanent redirects for any moved URL.</t>
  </si>
  <si>
    <t xml:space="preserve">TS14</t>
  </si>
  <si>
    <t xml:space="preserve">Freshness</t>
  </si>
  <si>
    <t xml:space="preserve">Last updated date visible and in schema on guides, breakdowns and value guides.</t>
  </si>
  <si>
    <t xml:space="preserve">TS15</t>
  </si>
  <si>
    <t xml:space="preserve">HTTPS only, HSTS, no mixed content.</t>
  </si>
  <si>
    <t xml:space="preserve">Value Guides (Programmatic SEO)</t>
  </si>
  <si>
    <t xml:space="preserve">Phase 2. Built only from our own aggregated data.</t>
  </si>
  <si>
    <t xml:space="preserve">Page template</t>
  </si>
  <si>
    <t xml:space="preserve">Title pattern</t>
  </si>
  <si>
    <t xml:space="preserve">[Brand] [Model] used price guide Australia [Year]</t>
  </si>
  <si>
    <t xml:space="preserve">Answer first</t>
  </si>
  <si>
    <t xml:space="preserve">Opening sentence states the typical used price range in AUD, the evidence count and the date. Written so it can be quoted on its own.</t>
  </si>
  <si>
    <t xml:space="preserve">Data blocks</t>
  </si>
  <si>
    <t xml:space="preserve">Typical used range, recent auction results range, new price where known, price trend chart, evidence count by type, confidence label.</t>
  </si>
  <si>
    <t xml:space="preserve">Specifications</t>
  </si>
  <si>
    <t xml:space="preserve">Model specifications from product_spec_sources with source links and the DS23 note.</t>
  </si>
  <si>
    <t xml:space="preserve">What changes the value</t>
  </si>
  <si>
    <t xml:space="preserve">Options, hours, condition and age factors known for the model or category.</t>
  </si>
  <si>
    <t xml:space="preserve">Buying checklist</t>
  </si>
  <si>
    <t xml:space="preserve">Category We cannot verify items reframed as what to check before bidding.</t>
  </si>
  <si>
    <t xml:space="preserve">Related</t>
  </si>
  <si>
    <t xml:space="preserve">Similar models, category hub, max bid calculator, current lots of this model in supported auctions.</t>
  </si>
  <si>
    <t xml:space="preserve">Call to action</t>
  </si>
  <si>
    <t xml:space="preserve">Analyse a lot of this model. Set an alert for this model (later phase).</t>
  </si>
  <si>
    <t xml:space="preserve">FAQ</t>
  </si>
  <si>
    <t xml:space="preserve">Three to five short answer questions using real data, such as how much a used [Model] sells for at auction in Australia.</t>
  </si>
  <si>
    <t xml:space="preserve">Disclaimer</t>
  </si>
  <si>
    <t xml:space="preserve">DS02 style note and method version on every page.</t>
  </si>
  <si>
    <t xml:space="preserve">Publish rules</t>
  </si>
  <si>
    <t xml:space="preserve">At least 5 priced comparables including at least 2 sold or realised results in the last 12 months before a page is indexable.</t>
  </si>
  <si>
    <t xml:space="preserve">Below threshold</t>
  </si>
  <si>
    <t xml:space="preserve">Page may exist for users but is noindex and excluded from sitemaps.</t>
  </si>
  <si>
    <t xml:space="preserve">Uniqueness</t>
  </si>
  <si>
    <t xml:space="preserve">Every indexable page must show figures unique to that model. No boilerplate only pages.</t>
  </si>
  <si>
    <t xml:space="preserve">Refresh</t>
  </si>
  <si>
    <t xml:space="preserve">Rebuilt weekly or when new evidence arrives. Last updated date shown.</t>
  </si>
  <si>
    <t xml:space="preserve">Data source rule</t>
  </si>
  <si>
    <t xml:space="preserve">Aggregated figures only. No copied listing text, no third party photos, no individual private seller details.</t>
  </si>
  <si>
    <t xml:space="preserve">Trade marks</t>
  </si>
  <si>
    <t xml:space="preserve">Brand and model names used only to identify the product. No logos. Note that the platform is not affiliated with the manufacturer.</t>
  </si>
  <si>
    <t xml:space="preserve">Quality review</t>
  </si>
  <si>
    <t xml:space="preserve">Templates reviewed by a person before rollout. Random sample of 20 pages reviewed each month.</t>
  </si>
  <si>
    <t xml:space="preserve">AI Search Visibility</t>
  </si>
  <si>
    <t xml:space="preserve">Goal: be the source AI answers cite for Australian auction pricing questions. Verify crawler names before launch (O13).</t>
  </si>
  <si>
    <t xml:space="preserve">User agent</t>
  </si>
  <si>
    <t xml:space="preserve">Provider</t>
  </si>
  <si>
    <t xml:space="preserve">Policy</t>
  </si>
  <si>
    <t xml:space="preserve">OAI-SearchBot</t>
  </si>
  <si>
    <t xml:space="preserve">OpenAI</t>
  </si>
  <si>
    <t xml:space="preserve">Search and answers</t>
  </si>
  <si>
    <t xml:space="preserve">Allow</t>
  </si>
  <si>
    <t xml:space="preserve">ChatGPT-User</t>
  </si>
  <si>
    <t xml:space="preserve">User requested fetch</t>
  </si>
  <si>
    <t xml:space="preserve">GPTBot</t>
  </si>
  <si>
    <t xml:space="preserve">Model training</t>
  </si>
  <si>
    <t xml:space="preserve">Claude-SearchBot</t>
  </si>
  <si>
    <t xml:space="preserve">Anthropic</t>
  </si>
  <si>
    <t xml:space="preserve">Claude-User</t>
  </si>
  <si>
    <t xml:space="preserve">ClaudeBot</t>
  </si>
  <si>
    <t xml:space="preserve">PerplexityBot</t>
  </si>
  <si>
    <t xml:space="preserve">Perplexity</t>
  </si>
  <si>
    <t xml:space="preserve">Perplexity-User</t>
  </si>
  <si>
    <t xml:space="preserve">Googlebot</t>
  </si>
  <si>
    <t xml:space="preserve">Google</t>
  </si>
  <si>
    <t xml:space="preserve">Search including AI Overviews</t>
  </si>
  <si>
    <t xml:space="preserve">Google-Extended</t>
  </si>
  <si>
    <t xml:space="preserve">Gemini training and grounding control</t>
  </si>
  <si>
    <t xml:space="preserve">Bingbot</t>
  </si>
  <si>
    <t xml:space="preserve">Microsoft</t>
  </si>
  <si>
    <t xml:space="preserve">Search, also used by Copilot and others</t>
  </si>
  <si>
    <t xml:space="preserve">Applebot-Extended</t>
  </si>
  <si>
    <t xml:space="preserve">Apple</t>
  </si>
  <si>
    <t xml:space="preserve">CCBot</t>
  </si>
  <si>
    <t xml:space="preserve">Common Crawl</t>
  </si>
  <si>
    <t xml:space="preserve">Dataset used for training</t>
  </si>
  <si>
    <t xml:space="preserve">Trade off: blocking training crawlers protects our data but may reduce how well future models know the brand. Review after launch.</t>
  </si>
  <si>
    <t xml:space="preserve">How we earn citations</t>
  </si>
  <si>
    <t xml:space="preserve">Tactic</t>
  </si>
  <si>
    <t xml:space="preserve">G01</t>
  </si>
  <si>
    <t xml:space="preserve">Answer first writing</t>
  </si>
  <si>
    <t xml:space="preserve">Every guide, glossary term and value guide opens with a one or two sentence direct answer that stands alone.</t>
  </si>
  <si>
    <t xml:space="preserve">G02</t>
  </si>
  <si>
    <t xml:space="preserve">Citable facts</t>
  </si>
  <si>
    <t xml:space="preserve">Dated, sourced numbers such as typical ranges, premium rates and accuracy stats, presented in plain HTML tables and lists.</t>
  </si>
  <si>
    <t xml:space="preserve">G03</t>
  </si>
  <si>
    <t xml:space="preserve">Public methodology</t>
  </si>
  <si>
    <t xml:space="preserve">The methodology, accuracy and changelog pages explain exactly how figures are made. AI engines favour sources that show their working.</t>
  </si>
  <si>
    <t xml:space="preserve">G04</t>
  </si>
  <si>
    <t xml:space="preserve">Question coverage</t>
  </si>
  <si>
    <t xml:space="preserve">FAQ sections target real questions: how much is buyer's premium on Grays, do you pay GST at auction, what is a used edgebander worth.</t>
  </si>
  <si>
    <t xml:space="preserve">G05</t>
  </si>
  <si>
    <t xml:space="preserve">Entity consistency</t>
  </si>
  <si>
    <t xml:space="preserve">Same name, description, location and founders across the site, schema, social profiles and directories.</t>
  </si>
  <si>
    <t xml:space="preserve">G06</t>
  </si>
  <si>
    <t xml:space="preserve">Third party mentions</t>
  </si>
  <si>
    <t xml:space="preserve">Useful presence in reseller communities, YouTube and industry sites. AI answers weigh what others say about us.</t>
  </si>
  <si>
    <t xml:space="preserve">G07</t>
  </si>
  <si>
    <t xml:space="preserve">Visible last updated dates and weekly breakdowns signal current data.</t>
  </si>
  <si>
    <t xml:space="preserve">G08</t>
  </si>
  <si>
    <t xml:space="preserve">Clean structure</t>
  </si>
  <si>
    <t xml:space="preserve">Semantic headings, tables and definition lists. No key facts hidden in images or scripts.</t>
  </si>
  <si>
    <t xml:space="preserve">G09</t>
  </si>
  <si>
    <t xml:space="preserve">llms.txt</t>
  </si>
  <si>
    <t xml:space="preserve">Publish an llms.txt listing key pages. Low cost, uncertain benefit, easy to maintain.</t>
  </si>
  <si>
    <t xml:space="preserve">G10</t>
  </si>
  <si>
    <t xml:space="preserve">Measurement</t>
  </si>
  <si>
    <t xml:space="preserve">Track a fixed set of 30 prompts across major AI engines monthly and record citations (O15).</t>
  </si>
  <si>
    <t xml:space="preserve">Marketing and Go to Market</t>
  </si>
  <si>
    <t xml:space="preserve">Channels</t>
  </si>
  <si>
    <t xml:space="preserve">Organic search</t>
  </si>
  <si>
    <t xml:space="preserve">Value guides, calculators, auction house guides and glossary. Long term primary channel.</t>
  </si>
  <si>
    <t xml:space="preserve">AI answers</t>
  </si>
  <si>
    <t xml:space="preserve">Methodology, accuracy and answer first content per tab 36.</t>
  </si>
  <si>
    <t xml:space="preserve">Communities</t>
  </si>
  <si>
    <t xml:space="preserve">Reseller Facebook groups, YouTube, Reddit and trade forums. Give real answers and breakdowns. Follow each group's rules. No spam.</t>
  </si>
  <si>
    <t xml:space="preserve">Weekly Auction Breakdown newsletter. Owned audience from day one.</t>
  </si>
  <si>
    <t xml:space="preserve">Referral</t>
  </si>
  <si>
    <t xml:space="preserve">Both organisations receive bonus credits after the referred organisation's first payment.</t>
  </si>
  <si>
    <t xml:space="preserve">Paid</t>
  </si>
  <si>
    <t xml:space="preserve">Deferred until conversion rates are proven. Then retargeting and branded search first.</t>
  </si>
  <si>
    <t xml:space="preserve">Auction Breakdown format</t>
  </si>
  <si>
    <t xml:space="preserve">Cadence</t>
  </si>
  <si>
    <t xml:space="preserve">Weekly, published midweek before weekend closes.</t>
  </si>
  <si>
    <t xml:space="preserve">Content</t>
  </si>
  <si>
    <t xml:space="preserve">One upcoming catalogue. Top ten lots by opportunity score with estimate range, confidence, rough max bid and a link to the lot.</t>
  </si>
  <si>
    <t xml:space="preserve">Outputs</t>
  </si>
  <si>
    <t xml:space="preserve">Web page, newsletter, short social clips of the lots and figures, community post summary.</t>
  </si>
  <si>
    <t xml:space="preserve">Rules</t>
  </si>
  <si>
    <t xml:space="preserve">No copied photos or listing text. Standard disclaimers. Figures from triage clearly labelled as rough.</t>
  </si>
  <si>
    <t xml:space="preserve">Run your own numbers on these lots with a free account.</t>
  </si>
  <si>
    <t xml:space="preserve">Launch plan</t>
  </si>
  <si>
    <t xml:space="preserve">Now to Week 1</t>
  </si>
  <si>
    <t xml:space="preserve">Lock name and domains. Holding page with waitlist live.</t>
  </si>
  <si>
    <t xml:space="preserve">Build weeks</t>
  </si>
  <si>
    <t xml:space="preserve">Share build progress and early breakdowns with the waitlist.</t>
  </si>
  <si>
    <t xml:space="preserve">Marketing site, try before sign up, first four breakdowns.</t>
  </si>
  <si>
    <t xml:space="preserve">Founding member offer to the waitlist (O14), then public launch.</t>
  </si>
  <si>
    <t xml:space="preserve">After launch</t>
  </si>
  <si>
    <t xml:space="preserve">Value guides roll out as data thresholds are met.</t>
  </si>
  <si>
    <t xml:space="preserve">Welcome</t>
  </si>
  <si>
    <t xml:space="preserve">Sign up</t>
  </si>
  <si>
    <t xml:space="preserve">Three step setup and first analysis prompt</t>
  </si>
  <si>
    <t xml:space="preserve">First result</t>
  </si>
  <si>
    <t xml:space="preserve">Triage complete</t>
  </si>
  <si>
    <t xml:space="preserve">What your top lots mean and how to shortlist</t>
  </si>
  <si>
    <t xml:space="preserve">Nudge</t>
  </si>
  <si>
    <t xml:space="preserve">No deep analysis after 3 days</t>
  </si>
  <si>
    <t xml:space="preserve">Try one lot free using starter credits</t>
  </si>
  <si>
    <t xml:space="preserve">Closing soon</t>
  </si>
  <si>
    <t xml:space="preserve">Watchlist trigger</t>
  </si>
  <si>
    <t xml:space="preserve">Transactional alert with target and maximum</t>
  </si>
  <si>
    <t xml:space="preserve">Outcome reminder</t>
  </si>
  <si>
    <t xml:space="preserve">Lot closed</t>
  </si>
  <si>
    <t xml:space="preserve">Record the result to sharpen future estimates</t>
  </si>
  <si>
    <t xml:space="preserve">Monthly recap</t>
  </si>
  <si>
    <t xml:space="preserve">Monthly</t>
  </si>
  <si>
    <t xml:space="preserve">Lots analysed, won, margin achieved</t>
  </si>
  <si>
    <t xml:space="preserve">Win back</t>
  </si>
  <si>
    <t xml:space="preserve">30 days inactive</t>
  </si>
  <si>
    <t xml:space="preserve">Latest breakdown and what is new</t>
  </si>
  <si>
    <t xml:space="preserve">UX Standards</t>
  </si>
  <si>
    <t xml:space="preserve">Flow</t>
  </si>
  <si>
    <t xml:space="preserve">Visitor pastes a supported catalogue URL on the homepage. If the auction is already triaged in shared data, show the top five lots with ranges and rough max bids. Remaining lots blurred behind sign up.</t>
  </si>
  <si>
    <t xml:space="preserve">New auctions</t>
  </si>
  <si>
    <t xml:space="preserve">Queue triage and ask for an email to send results. This builds the waitlist and controls cost.</t>
  </si>
  <si>
    <t xml:space="preserve">Limits</t>
  </si>
  <si>
    <t xml:space="preserve">Rate limited per hashed IP. Bot protection. Deep analysis never available anonymously.</t>
  </si>
  <si>
    <t xml:space="preserve">Step 1</t>
  </si>
  <si>
    <t xml:space="preserve">GST registered yes or no, with a one line plain explanation.</t>
  </si>
  <si>
    <t xml:space="preserve">Step 2</t>
  </si>
  <si>
    <t xml:space="preserve">Base location for transport estimates.</t>
  </si>
  <si>
    <t xml:space="preserve">Step 3</t>
  </si>
  <si>
    <t xml:space="preserve">Profit target in dollars or percentage, with a sensible default.</t>
  </si>
  <si>
    <t xml:space="preserve">Paste a catalogue or use a sample. Inline tips at triage, shortlist and the calculator. Tips dismiss permanently.</t>
  </si>
  <si>
    <t xml:space="preserve">Sign up to first triage result in under five minutes.</t>
  </si>
  <si>
    <t xml:space="preserve">Interface states</t>
  </si>
  <si>
    <t xml:space="preserve">Empty states</t>
  </si>
  <si>
    <t xml:space="preserve">Every empty screen explains what goes there and gives one clear action.</t>
  </si>
  <si>
    <t xml:space="preserve">Loading</t>
  </si>
  <si>
    <t xml:space="preserve">Skeletons shaped like the final content. Stop line loader for background jobs with stage names.</t>
  </si>
  <si>
    <t xml:space="preserve">Errors</t>
  </si>
  <si>
    <t xml:space="preserve">Say what happened, what we did and what the user can do. Never blame the user. Money related errors stay plain.</t>
  </si>
  <si>
    <t xml:space="preserve">Partial results</t>
  </si>
  <si>
    <t xml:space="preserve">Lots appear as they complete. Failed lots show retry and refund status.</t>
  </si>
  <si>
    <t xml:space="preserve">Offline and slow</t>
  </si>
  <si>
    <t xml:space="preserve">Mobile bid view caches the watchlist so figures remain visible with poor reception at auction yards.</t>
  </si>
  <si>
    <t xml:space="preserve">Interaction</t>
  </si>
  <si>
    <t xml:space="preserve">Keyboard</t>
  </si>
  <si>
    <t xml:space="preserve">J and K move between lots, S shortlists, W watchlists, forward slash searches, question mark shows shortcuts.</t>
  </si>
  <si>
    <t xml:space="preserve">Undo</t>
  </si>
  <si>
    <t xml:space="preserve">Exclusions, overrides and shortlist changes offer undo for ten seconds.</t>
  </si>
  <si>
    <t xml:space="preserve">Instant feedback</t>
  </si>
  <si>
    <t xml:space="preserve">Calculator changes update figures within 100ms.</t>
  </si>
  <si>
    <t xml:space="preserve">Touch</t>
  </si>
  <si>
    <t xml:space="preserve">Targets at least 44px on mobile. Bid view usable one handed.</t>
  </si>
  <si>
    <t xml:space="preserve">Microcopy</t>
  </si>
  <si>
    <t xml:space="preserve">Buttons say what they do: Analyse 12 lots (12 credits), not Submit.</t>
  </si>
  <si>
    <t xml:space="preserve">Accessibility (WCAG 2.2 AA)</t>
  </si>
  <si>
    <t xml:space="preserve">Contrast</t>
  </si>
  <si>
    <t xml:space="preserve">4.5 to 1 for text and 3 to 1 for UI elements in both themes.</t>
  </si>
  <si>
    <t xml:space="preserve">Never colour alone. Every zone and badge has a text label.</t>
  </si>
  <si>
    <t xml:space="preserve">Every function reachable by keyboard with a visible focus ring.</t>
  </si>
  <si>
    <t xml:space="preserve">Screen readers</t>
  </si>
  <si>
    <t xml:space="preserve">Tables with proper headers, live regions for recalculated bid figures, labelled sliders with value text.</t>
  </si>
  <si>
    <t xml:space="preserve">Reduced motion respected everywhere.</t>
  </si>
  <si>
    <t xml:space="preserve">Target size</t>
  </si>
  <si>
    <t xml:space="preserve">Minimum 24px targets per WCAG 2.2, 44px on mobile by our standard.</t>
  </si>
  <si>
    <t xml:space="preserve">Usability rounds</t>
  </si>
  <si>
    <t xml:space="preserve">Five real resellers per round at the end of Weeks 4 and 7 and before public launch.</t>
  </si>
  <si>
    <t xml:space="preserve">Tasks</t>
  </si>
  <si>
    <t xml:space="preserve">Analyse a catalogue, shortlist, adjust costs, read the evidence, use the bid view.</t>
  </si>
  <si>
    <t xml:space="preserve">Task success, time on task, errors and a confidence rating after reading a lot.</t>
  </si>
  <si>
    <t xml:space="preserve">Automated</t>
  </si>
  <si>
    <t xml:space="preserve">axe accessibility checks and Lighthouse budgets in CI.</t>
  </si>
  <si>
    <t xml:space="preserve">Build Architecture</t>
  </si>
  <si>
    <t xml:space="preserve">Library first, mobile first, small files. These rules apply to every line of code, human or AI written.</t>
  </si>
  <si>
    <t xml:space="preserve">BA01</t>
  </si>
  <si>
    <t xml:space="preserve">Library first</t>
  </si>
  <si>
    <t xml:space="preserve">Check packages/ui before writing any UI. If a component exists, use it. If it nearly fits, extend it with a prop. Build a new one only when nothing fits, and build it in Storybook first.</t>
  </si>
  <si>
    <t xml:space="preserve">BA02</t>
  </si>
  <si>
    <t xml:space="preserve">Thin pages</t>
  </si>
  <si>
    <t xml:space="preserve">A page file handles routing, metadata and data loading, then imports sections. No styling or business logic in pages.</t>
  </si>
  <si>
    <t xml:space="preserve">BA03</t>
  </si>
  <si>
    <t xml:space="preserve">One job per file</t>
  </si>
  <si>
    <t xml:space="preserve">One component per file. Hooks, types, constants and helpers in their own files.</t>
  </si>
  <si>
    <t xml:space="preserve">BA04</t>
  </si>
  <si>
    <t xml:space="preserve">Bid maths in packages/calc. Colours, type and spacing in packages/tokens. Disclaimer and message text in packages/content. Nothing is retyped.</t>
  </si>
  <si>
    <t xml:space="preserve">BA05</t>
  </si>
  <si>
    <t xml:space="preserve">Server first</t>
  </si>
  <si>
    <t xml:space="preserve">Server components by default. Client components only for interactive leaves such as the bid slider, auction room and docket inputs.</t>
  </si>
  <si>
    <t xml:space="preserve">BA06</t>
  </si>
  <si>
    <t xml:space="preserve">Mobile first</t>
  </si>
  <si>
    <t xml:space="preserve">Every component is designed and built for a 360px screen first, then enhanced for larger screens.</t>
  </si>
  <si>
    <t xml:space="preserve">BA07</t>
  </si>
  <si>
    <t xml:space="preserve">Tokens only</t>
  </si>
  <si>
    <t xml:space="preserve">No hex values, pixel font sizes or ad hoc spacing inside components. Everything references tokens.</t>
  </si>
  <si>
    <t xml:space="preserve">BA08</t>
  </si>
  <si>
    <t xml:space="preserve">Budgets are gates</t>
  </si>
  <si>
    <t xml:space="preserve">File size, bundle size and Core Web Vitals budgets fail the build when broken.</t>
  </si>
  <si>
    <t xml:space="preserve">Monorepo structure (Turborepo, pnpm)</t>
  </si>
  <si>
    <t xml:space="preserve">Contains</t>
  </si>
  <si>
    <t xml:space="preserve">apps/web</t>
  </si>
  <si>
    <t xml:space="preserve">Public site at maxbid.com.au</t>
  </si>
  <si>
    <t xml:space="preserve">Marketing pages, calculators, value guides, breakdowns</t>
  </si>
  <si>
    <t xml:space="preserve">Imports sections from packages/ui. Mostly static and server rendered.</t>
  </si>
  <si>
    <t xml:space="preserve">apps/app</t>
  </si>
  <si>
    <t xml:space="preserve">Product at app.maxbid.com.au</t>
  </si>
  <si>
    <t xml:space="preserve">Triage, lot detail, docket, watchlist, bid view, settings</t>
  </si>
  <si>
    <t xml:space="preserve">Installable web app. noindex.</t>
  </si>
  <si>
    <t xml:space="preserve">packages/tokens</t>
  </si>
  <si>
    <t xml:space="preserve">Design tokens</t>
  </si>
  <si>
    <t xml:space="preserve">CSS variables, Tailwind preset, light and dark themes</t>
  </si>
  <si>
    <t xml:space="preserve">Tab 17 and 33 values live here only.</t>
  </si>
  <si>
    <t xml:space="preserve">packages/ui</t>
  </si>
  <si>
    <t xml:space="preserve">Primitives, composites and sections</t>
  </si>
  <si>
    <t xml:space="preserve">Catalogued in Storybook.</t>
  </si>
  <si>
    <t xml:space="preserve">packages/calc</t>
  </si>
  <si>
    <t xml:space="preserve">Bid engine</t>
  </si>
  <si>
    <t xml:space="preserve">Bid limits, GST, cost totals, scenarios, confidence</t>
  </si>
  <si>
    <t xml:space="preserve">Pure TypeScript, no UI. Tested against tab 10.</t>
  </si>
  <si>
    <t xml:space="preserve">packages/content</t>
  </si>
  <si>
    <t xml:space="preserve">Words</t>
  </si>
  <si>
    <t xml:space="preserve">Disclaimer library, standard phrases, glossary definitions</t>
  </si>
  <si>
    <t xml:space="preserve">DS01 to DS35 as named exports.</t>
  </si>
  <si>
    <t xml:space="preserve">packages/db</t>
  </si>
  <si>
    <t xml:space="preserve">Data access</t>
  </si>
  <si>
    <t xml:space="preserve">Supabase generated types, typed queries, RLS test helpers</t>
  </si>
  <si>
    <t xml:space="preserve">Generated type files exempt from line limits.</t>
  </si>
  <si>
    <t xml:space="preserve">packages/config</t>
  </si>
  <si>
    <t xml:space="preserve">Shared config</t>
  </si>
  <si>
    <t xml:space="preserve">ESLint, TypeScript, Prettier, Vitest and Playwright settings</t>
  </si>
  <si>
    <t xml:space="preserve">Line limits defined once here.</t>
  </si>
  <si>
    <t xml:space="preserve">apps/storybook</t>
  </si>
  <si>
    <t xml:space="preserve">Catalogue</t>
  </si>
  <si>
    <t xml:space="preserve">Stories for every library component</t>
  </si>
  <si>
    <t xml:space="preserve">Deployed privately for review.</t>
  </si>
  <si>
    <t xml:space="preserve">Component layers</t>
  </si>
  <si>
    <t xml:space="preserve">Location</t>
  </si>
  <si>
    <t xml:space="preserve">What it is</t>
  </si>
  <si>
    <t xml:space="preserve">1 Tokens</t>
  </si>
  <si>
    <t xml:space="preserve">Colour, type, spacing, radius, motion, breakpoints</t>
  </si>
  <si>
    <t xml:space="preserve">Changed only by design decision</t>
  </si>
  <si>
    <t xml:space="preserve">2 Primitives</t>
  </si>
  <si>
    <t xml:space="preserve">packages/ui/primitives</t>
  </si>
  <si>
    <t xml:space="preserve">Smallest building blocks with no business meaning</t>
  </si>
  <si>
    <t xml:space="preserve">Button, Input, Money, Badge</t>
  </si>
  <si>
    <t xml:space="preserve">3 Composites</t>
  </si>
  <si>
    <t xml:space="preserve">packages/ui/composites</t>
  </si>
  <si>
    <t xml:space="preserve">Primitives combined into a reusable product element</t>
  </si>
  <si>
    <t xml:space="preserve">BidRail, EvidenceRow, Docket</t>
  </si>
  <si>
    <t xml:space="preserve">4 Sections</t>
  </si>
  <si>
    <t xml:space="preserve">packages/ui/sections</t>
  </si>
  <si>
    <t xml:space="preserve">A full band of a page built from composites</t>
  </si>
  <si>
    <t xml:space="preserve">SheetHero, ClosingList</t>
  </si>
  <si>
    <t xml:space="preserve">5 Shells</t>
  </si>
  <si>
    <t xml:space="preserve">apps/*/app/layout.tsx</t>
  </si>
  <si>
    <t xml:space="preserve">Header, footer, navigation and theme around pages</t>
  </si>
  <si>
    <t xml:space="preserve">One marketing shell, one app shell</t>
  </si>
  <si>
    <t xml:space="preserve">6 Pages</t>
  </si>
  <si>
    <t xml:space="preserve">apps/*/app/**/page.tsx</t>
  </si>
  <si>
    <t xml:space="preserve">Imports sections, sets metadata, loads data</t>
  </si>
  <si>
    <t xml:space="preserve">80 lines maximum</t>
  </si>
  <si>
    <t xml:space="preserve">Component inventory</t>
  </si>
  <si>
    <t xml:space="preserve">Used in</t>
  </si>
  <si>
    <t xml:space="preserve">UI01</t>
  </si>
  <si>
    <t xml:space="preserve">Button</t>
  </si>
  <si>
    <t xml:space="preserve">Primitive</t>
  </si>
  <si>
    <t xml:space="preserve">Primary marker yellow, secondary outline, ghost, danger. Loading and disabled states. 44px minimum height</t>
  </si>
  <si>
    <t xml:space="preserve">UI02</t>
  </si>
  <si>
    <t xml:space="preserve">Text, number, URL, email. Label, hint, error. Mono variant for figures</t>
  </si>
  <si>
    <t xml:space="preserve">UI03</t>
  </si>
  <si>
    <t xml:space="preserve">Toggle group</t>
  </si>
  <si>
    <t xml:space="preserve">GST registered, monthly or annual, theme. aria pressed</t>
  </si>
  <si>
    <t xml:space="preserve">UI04</t>
  </si>
  <si>
    <t xml:space="preserve">Money</t>
  </si>
  <si>
    <t xml:space="preserve">Formats AUD with tabular figures, parentheses for negatives, size variants up to hero</t>
  </si>
  <si>
    <t xml:space="preserve">UI05</t>
  </si>
  <si>
    <t xml:space="preserve">MonoLabel</t>
  </si>
  <si>
    <t xml:space="preserve">Uppercase mono data label</t>
  </si>
  <si>
    <t xml:space="preserve">UI06</t>
  </si>
  <si>
    <t xml:space="preserve">ProvenanceTag</t>
  </si>
  <si>
    <t xml:space="preserve">Verified, Extracted, Estimated, Your input</t>
  </si>
  <si>
    <t xml:space="preserve">UI07</t>
  </si>
  <si>
    <t xml:space="preserve">AiLabel</t>
  </si>
  <si>
    <t xml:space="preserve">AI generated marker</t>
  </si>
  <si>
    <t xml:space="preserve">UI08</t>
  </si>
  <si>
    <t xml:space="preserve">MatchBadge</t>
  </si>
  <si>
    <t xml:space="preserve">Six match levels</t>
  </si>
  <si>
    <t xml:space="preserve">UI09</t>
  </si>
  <si>
    <t xml:space="preserve">ConfidenceBadge</t>
  </si>
  <si>
    <t xml:space="preserve">High, Medium, Low, Insufficient with score</t>
  </si>
  <si>
    <t xml:space="preserve">UI10</t>
  </si>
  <si>
    <t xml:space="preserve">ZoneLabel</t>
  </si>
  <si>
    <t xml:space="preserve">On target, Below target, Loss risk. Text plus colour</t>
  </si>
  <si>
    <t xml:space="preserve">UI11</t>
  </si>
  <si>
    <t xml:space="preserve">InfoNote</t>
  </si>
  <si>
    <t xml:space="preserve">Muted 12px note with info icon. Reads text from packages/content</t>
  </si>
  <si>
    <t xml:space="preserve">UI12</t>
  </si>
  <si>
    <t xml:space="preserve">StopLine</t>
  </si>
  <si>
    <t xml:space="preserve">Marker yellow bar used as mark, tab marker, loader and limit marker</t>
  </si>
  <si>
    <t xml:space="preserve">UI13</t>
  </si>
  <si>
    <t xml:space="preserve">SheetFrame</t>
  </si>
  <si>
    <t xml:space="preserve">Double inset cyan frame for navy panels</t>
  </si>
  <si>
    <t xml:space="preserve">UI14</t>
  </si>
  <si>
    <t xml:space="preserve">TitleBlock</t>
  </si>
  <si>
    <t xml:space="preserve">Web</t>
  </si>
  <si>
    <t xml:space="preserve">Drawing title block with label and value cells</t>
  </si>
  <si>
    <t xml:space="preserve">UI15</t>
  </si>
  <si>
    <t xml:space="preserve">DetailLabel</t>
  </si>
  <si>
    <t xml:space="preserve">Navy tab label such as DETAIL A or PLAN 01</t>
  </si>
  <si>
    <t xml:space="preserve">UI16</t>
  </si>
  <si>
    <t xml:space="preserve">LeaderLine</t>
  </si>
  <si>
    <t xml:space="preserve">Label, dotted leader and figure on one line</t>
  </si>
  <si>
    <t xml:space="preserve">UI17</t>
  </si>
  <si>
    <t xml:space="preserve">LineIcon</t>
  </si>
  <si>
    <t xml:space="preserve">Category and action icons in 1.4px pen blue stroke</t>
  </si>
  <si>
    <t xml:space="preserve">UI18</t>
  </si>
  <si>
    <t xml:space="preserve">MaxBid logo with stop line</t>
  </si>
  <si>
    <t xml:space="preserve">UI19</t>
  </si>
  <si>
    <t xml:space="preserve">BidRail</t>
  </si>
  <si>
    <t xml:space="preserve">Composite</t>
  </si>
  <si>
    <t xml:space="preserve">Price rail with target, absolute max and stop line markers and a live cursor</t>
  </si>
  <si>
    <t xml:space="preserve">UI20</t>
  </si>
  <si>
    <t xml:space="preserve">BidSlider</t>
  </si>
  <si>
    <t xml:space="preserve">App</t>
  </si>
  <si>
    <t xml:space="preserve">Proposed bid slider linked to profit readout</t>
  </si>
  <si>
    <t xml:space="preserve">UI21</t>
  </si>
  <si>
    <t xml:space="preserve">BidLimits</t>
  </si>
  <si>
    <t xml:space="preserve">Target, absolute max and break even with How this was calculated expander</t>
  </si>
  <si>
    <t xml:space="preserve">UI22</t>
  </si>
  <si>
    <t xml:space="preserve">EvidenceRow</t>
  </si>
  <si>
    <t xml:space="preserve">One comparable with badges, tags, price, adjustment, reason and exclude</t>
  </si>
  <si>
    <t xml:space="preserve">UI23</t>
  </si>
  <si>
    <t xml:space="preserve">PriceLine</t>
  </si>
  <si>
    <t xml:space="preserve">All comparables on one axis with weighted marks and scenario band</t>
  </si>
  <si>
    <t xml:space="preserve">UI24</t>
  </si>
  <si>
    <t xml:space="preserve">SpecTable</t>
  </si>
  <si>
    <t xml:space="preserve">Enriched specs grouped by source class with conflict flags</t>
  </si>
  <si>
    <t xml:space="preserve">UI25</t>
  </si>
  <si>
    <t xml:space="preserve">OptionChecklist</t>
  </si>
  <si>
    <t xml:space="preserve">Optional equipment marked Observed, Stated, Absent or Not verified</t>
  </si>
  <si>
    <t xml:space="preserve">UI26</t>
  </si>
  <si>
    <t xml:space="preserve">DetailCard</t>
  </si>
  <si>
    <t xml:space="preserve">Result card with detail label, photo area, figures and action</t>
  </si>
  <si>
    <t xml:space="preserve">UI27</t>
  </si>
  <si>
    <t xml:space="preserve">TimeRemainingBar</t>
  </si>
  <si>
    <t xml:space="preserve">Closing time with a remaining time bar</t>
  </si>
  <si>
    <t xml:space="preserve">UI28</t>
  </si>
  <si>
    <t xml:space="preserve">SplitBar</t>
  </si>
  <si>
    <t xml:space="preserve">Resale price split into maximum bid, costs and profit with a measurement line</t>
  </si>
  <si>
    <t xml:space="preserve">UI29</t>
  </si>
  <si>
    <t xml:space="preserve">PriceChart</t>
  </si>
  <si>
    <t xml:space="preserve">12 month price chart with typical range band, sold and asking markers</t>
  </si>
  <si>
    <t xml:space="preserve">UI30</t>
  </si>
  <si>
    <t xml:space="preserve">PlanPanel</t>
  </si>
  <si>
    <t xml:space="preserve">Pricing plan as a labelled drawing panel</t>
  </si>
  <si>
    <t xml:space="preserve">UI31</t>
  </si>
  <si>
    <t xml:space="preserve">CostSummary</t>
  </si>
  <si>
    <t xml:space="preserve">Collapsed cost total expanding to editable lines</t>
  </si>
  <si>
    <t xml:space="preserve">UI32</t>
  </si>
  <si>
    <t xml:space="preserve">OverrideMarker</t>
  </si>
  <si>
    <t xml:space="preserve">Your input marker with reset action</t>
  </si>
  <si>
    <t xml:space="preserve">UI33</t>
  </si>
  <si>
    <t xml:space="preserve">LotRow</t>
  </si>
  <si>
    <t xml:space="preserve">Triage row on desktop, stacked row on mobile</t>
  </si>
  <si>
    <t xml:space="preserve">UI34</t>
  </si>
  <si>
    <t xml:space="preserve">StatusLine</t>
  </si>
  <si>
    <t xml:space="preserve">Live status with square marker, tag and message</t>
  </si>
  <si>
    <t xml:space="preserve">UI35</t>
  </si>
  <si>
    <t xml:space="preserve">EmailCapture</t>
  </si>
  <si>
    <t xml:space="preserve">Waitlist and breakdown sign up with validation and success state</t>
  </si>
  <si>
    <t xml:space="preserve">UI36</t>
  </si>
  <si>
    <t xml:space="preserve">SiteHeader</t>
  </si>
  <si>
    <t xml:space="preserve">Section</t>
  </si>
  <si>
    <t xml:space="preserve">Sticky header with chapter nav, theme toggle and call to action. Mobile menu sheet</t>
  </si>
  <si>
    <t xml:space="preserve">UI37</t>
  </si>
  <si>
    <t xml:space="preserve">SiteFooter</t>
  </si>
  <si>
    <t xml:space="preserve">Wordmark, disclaimer DS01 short form, links</t>
  </si>
  <si>
    <t xml:space="preserve">UI38</t>
  </si>
  <si>
    <t xml:space="preserve">SheetHero</t>
  </si>
  <si>
    <t xml:space="preserve">Navy drawing sheet header with title block and search tabs</t>
  </si>
  <si>
    <t xml:space="preserve">UI39</t>
  </si>
  <si>
    <t xml:space="preserve">SampleResults</t>
  </si>
  <si>
    <t xml:space="preserve">Three detail cards showing sample results</t>
  </si>
  <si>
    <t xml:space="preserve">UI40</t>
  </si>
  <si>
    <t xml:space="preserve">CategoryTiles</t>
  </si>
  <si>
    <t xml:space="preserve">Price guide categories as icon tiles</t>
  </si>
  <si>
    <t xml:space="preserve">UI41</t>
  </si>
  <si>
    <t xml:space="preserve">ClosingList</t>
  </si>
  <si>
    <t xml:space="preserve">Auctions closing soon with time remaining bars</t>
  </si>
  <si>
    <t xml:space="preserve">UI42</t>
  </si>
  <si>
    <t xml:space="preserve">HowItWorks</t>
  </si>
  <si>
    <t xml:space="preserve">Split bar explanation of the maximum bid</t>
  </si>
  <si>
    <t xml:space="preserve">UI43</t>
  </si>
  <si>
    <t xml:space="preserve">SignupPanel</t>
  </si>
  <si>
    <t xml:space="preserve">Framed navy Auction Breakdown sign up</t>
  </si>
  <si>
    <t xml:space="preserve">UI44</t>
  </si>
  <si>
    <t xml:space="preserve">PricingPlans</t>
  </si>
  <si>
    <t xml:space="preserve">Plan panels, comparison table and credit explainers</t>
  </si>
  <si>
    <t xml:space="preserve">UI45</t>
  </si>
  <si>
    <t xml:space="preserve">GuideLayout</t>
  </si>
  <si>
    <t xml:space="preserve">Price guide page with sticky summary side panel</t>
  </si>
  <si>
    <t xml:space="preserve">UI46</t>
  </si>
  <si>
    <t xml:space="preserve">MethodSteps</t>
  </si>
  <si>
    <t xml:space="preserve">Numbered method steps and match level table</t>
  </si>
  <si>
    <t xml:space="preserve">UI47</t>
  </si>
  <si>
    <t xml:space="preserve">AppShell</t>
  </si>
  <si>
    <t xml:space="preserve">Sidebar on desktop, bottom tab bar on mobile, safe area aware</t>
  </si>
  <si>
    <t xml:space="preserve">UI48</t>
  </si>
  <si>
    <t xml:space="preserve">TriageTable</t>
  </si>
  <si>
    <t xml:space="preserve">Filterable ranked lots with shortlist and credit bar</t>
  </si>
  <si>
    <t xml:space="preserve">UI49</t>
  </si>
  <si>
    <t xml:space="preserve">LotDetail</t>
  </si>
  <si>
    <t xml:space="preserve">Identification, spec sheet, evidence, calculator. Split view on desktop, sheets on mobile</t>
  </si>
  <si>
    <t xml:space="preserve">UI50</t>
  </si>
  <si>
    <t xml:space="preserve">BidView</t>
  </si>
  <si>
    <t xml:space="preserve">Mobile bid cards with offline cache indicator</t>
  </si>
  <si>
    <t xml:space="preserve">File size rules</t>
  </si>
  <si>
    <t xml:space="preserve">Limit</t>
  </si>
  <si>
    <t xml:space="preserve">FS01</t>
  </si>
  <si>
    <t xml:space="preserve">Any code file</t>
  </si>
  <si>
    <t xml:space="preserve">300 lines hard cap, 150 target</t>
  </si>
  <si>
    <t xml:space="preserve">ESLint max-lines, blank lines and comments excluded. CI fails above cap.</t>
  </si>
  <si>
    <t xml:space="preserve">FS02</t>
  </si>
  <si>
    <t xml:space="preserve">Page file</t>
  </si>
  <si>
    <t xml:space="preserve">80 lines</t>
  </si>
  <si>
    <t xml:space="preserve">If a page grows, move content into a section.</t>
  </si>
  <si>
    <t xml:space="preserve">FS03</t>
  </si>
  <si>
    <t xml:space="preserve">Function or component body</t>
  </si>
  <si>
    <t xml:space="preserve">ESLint max-lines-per-function.</t>
  </si>
  <si>
    <t xml:space="preserve">FS04</t>
  </si>
  <si>
    <t xml:space="preserve">Props</t>
  </si>
  <si>
    <t xml:space="preserve">Around 10 props per component</t>
  </si>
  <si>
    <t xml:space="preserve">More suggests splitting into smaller components.</t>
  </si>
  <si>
    <t xml:space="preserve">FS05</t>
  </si>
  <si>
    <t xml:space="preserve">Nesting</t>
  </si>
  <si>
    <t xml:space="preserve">JSX nesting depth of 6 or less</t>
  </si>
  <si>
    <t xml:space="preserve">Deeper trees become child components.</t>
  </si>
  <si>
    <t xml:space="preserve">FS06</t>
  </si>
  <si>
    <t xml:space="preserve">Exemptions</t>
  </si>
  <si>
    <t xml:space="preserve">Generated Supabase types and lockfiles only</t>
  </si>
  <si>
    <t xml:space="preserve">Listed in lint config. No other exceptions.</t>
  </si>
  <si>
    <t xml:space="preserve">FS07</t>
  </si>
  <si>
    <t xml:space="preserve">Imports</t>
  </si>
  <si>
    <t xml:space="preserve">Import components by path, avoid root barrel files</t>
  </si>
  <si>
    <t xml:space="preserve">Keeps bundles tree shaken and small.</t>
  </si>
  <si>
    <t xml:space="preserve">Component file pattern</t>
  </si>
  <si>
    <t xml:space="preserve">Folder per component</t>
  </si>
  <si>
    <t xml:space="preserve">packages/ui/composites/Docket/ holding Docket.tsx, Docket.stories.tsx, Docket.test.tsx, docket.types.ts, index.ts, plus child parts such as DocketLine.tsx.</t>
  </si>
  <si>
    <t xml:space="preserve">Stories required</t>
  </si>
  <si>
    <t xml:space="preserve">Default, every state and variant, light and dark theme, 375px and 1440px viewports, long content and empty content.</t>
  </si>
  <si>
    <t xml:space="preserve">Definition of done</t>
  </si>
  <si>
    <t xml:space="preserve">Tokens only, stories complete, axe check passes in the Storybook test runner, unit tests for any logic, under the line caps, props documented, visual snapshot approved.</t>
  </si>
  <si>
    <t xml:space="preserve">Mobile first rules</t>
  </si>
  <si>
    <t xml:space="preserve">MF01</t>
  </si>
  <si>
    <t xml:space="preserve">Base width</t>
  </si>
  <si>
    <t xml:space="preserve">Author for 360px first. Enhance at 640, 768, 1024 and 1280px with min width queries only.</t>
  </si>
  <si>
    <t xml:space="preserve">MF02</t>
  </si>
  <si>
    <t xml:space="preserve">Test viewports</t>
  </si>
  <si>
    <t xml:space="preserve">375 iPhone SE, 393 iPhone 15, 412 Pixel, 820 iPad, 1280 and 1440 desktop in every story and Playwright run.</t>
  </si>
  <si>
    <t xml:space="preserve">MF03</t>
  </si>
  <si>
    <t xml:space="preserve">44px targets, no hover only actions, swipe between lots in bid view, thumb reachable primary actions.</t>
  </si>
  <si>
    <t xml:space="preserve">MF04</t>
  </si>
  <si>
    <t xml:space="preserve">Layout patterns</t>
  </si>
  <si>
    <t xml:space="preserve">Desktop split views become full screen sheets on mobile. Tables become stacked rows with the key figure first. Sticky bottom action bar for the main action.</t>
  </si>
  <si>
    <t xml:space="preserve">MF05</t>
  </si>
  <si>
    <t xml:space="preserve">Viewport</t>
  </si>
  <si>
    <t xml:space="preserve">Dynamic viewport units, safe area insets for notches and home bars, no fixed 100vh.</t>
  </si>
  <si>
    <t xml:space="preserve">MF06</t>
  </si>
  <si>
    <t xml:space="preserve">Installable app</t>
  </si>
  <si>
    <t xml:space="preserve">Manifest with standalone display, maskable icons, theme colour, install prompt after first analysis.</t>
  </si>
  <si>
    <t xml:space="preserve">MF07</t>
  </si>
  <si>
    <t xml:space="preserve">Offline</t>
  </si>
  <si>
    <t xml:space="preserve">Service worker caches app shell, watchlist and bid view data. Shows last synced time when offline.</t>
  </si>
  <si>
    <t xml:space="preserve">MF08</t>
  </si>
  <si>
    <t xml:space="preserve">Correct keyboard types for money, email and URL fields. Paste friendly URL field.</t>
  </si>
  <si>
    <t xml:space="preserve">MF09</t>
  </si>
  <si>
    <t xml:space="preserve">Performance on phones</t>
  </si>
  <si>
    <t xml:space="preserve">Test on a mid range Android over throttled 4G. Budgets below must hold there.</t>
  </si>
  <si>
    <t xml:space="preserve">MF10</t>
  </si>
  <si>
    <t xml:space="preserve">Desktop parity</t>
  </si>
  <si>
    <t xml:space="preserve">Desktop gets density, keyboard shortcuts and split views. No feature is desktop only or mobile only unless listed in tab 07.</t>
  </si>
  <si>
    <t xml:space="preserve">Performance budgets</t>
  </si>
  <si>
    <t xml:space="preserve">Budget</t>
  </si>
  <si>
    <t xml:space="preserve">Measured by</t>
  </si>
  <si>
    <t xml:space="preserve">PB01</t>
  </si>
  <si>
    <t xml:space="preserve">Marketing page first load JavaScript</t>
  </si>
  <si>
    <t xml:space="preserve">130 KB gzipped</t>
  </si>
  <si>
    <t xml:space="preserve">size-limit in CI</t>
  </si>
  <si>
    <t xml:space="preserve">PB02</t>
  </si>
  <si>
    <t xml:space="preserve">App route first load JavaScript</t>
  </si>
  <si>
    <t xml:space="preserve">200 KB gzipped</t>
  </si>
  <si>
    <t xml:space="preserve">PB03</t>
  </si>
  <si>
    <t xml:space="preserve">Largest Contentful Paint</t>
  </si>
  <si>
    <t xml:space="preserve">Under 2.5s at 75th percentile on mobile</t>
  </si>
  <si>
    <t xml:space="preserve">Search Console and Vercel analytics</t>
  </si>
  <si>
    <t xml:space="preserve">PB04</t>
  </si>
  <si>
    <t xml:space="preserve">Interaction to Next Paint</t>
  </si>
  <si>
    <t xml:space="preserve">Under 200ms</t>
  </si>
  <si>
    <t xml:space="preserve">PB05</t>
  </si>
  <si>
    <t xml:space="preserve">Cumulative Layout Shift</t>
  </si>
  <si>
    <t xml:space="preserve">Under 0.1</t>
  </si>
  <si>
    <t xml:space="preserve">PB06</t>
  </si>
  <si>
    <t xml:space="preserve">Lighthouse mobile performance</t>
  </si>
  <si>
    <t xml:space="preserve">90 or above on key pages</t>
  </si>
  <si>
    <t xml:space="preserve">Lighthouse CI</t>
  </si>
  <si>
    <t xml:space="preserve">PB07</t>
  </si>
  <si>
    <t xml:space="preserve">Below the fold interactive sections</t>
  </si>
  <si>
    <t xml:space="preserve">Lazy loaded with next/dynamic</t>
  </si>
  <si>
    <t xml:space="preserve">Code review</t>
  </si>
  <si>
    <t xml:space="preserve">PB08</t>
  </si>
  <si>
    <t xml:space="preserve">Three families, subset, self hosted, preloaded</t>
  </si>
  <si>
    <t xml:space="preserve">next/font</t>
  </si>
  <si>
    <t xml:space="preserve">AI assisted build rules (CLAUDE.md and AGENTS.md)</t>
  </si>
  <si>
    <t xml:space="preserve">AR01</t>
  </si>
  <si>
    <t xml:space="preserve">Before building UI</t>
  </si>
  <si>
    <t xml:space="preserve">Search packages/ui and Storybook for an existing component and use it.</t>
  </si>
  <si>
    <t xml:space="preserve">AR02</t>
  </si>
  <si>
    <t xml:space="preserve">New component</t>
  </si>
  <si>
    <t xml:space="preserve">Create it in packages/ui with stories and tests first, then use it in the page.</t>
  </si>
  <si>
    <t xml:space="preserve">AR03</t>
  </si>
  <si>
    <t xml:space="preserve">Size</t>
  </si>
  <si>
    <t xml:space="preserve">Never exceed 300 lines. Split the file before adding to it.</t>
  </si>
  <si>
    <t xml:space="preserve">AR04</t>
  </si>
  <si>
    <t xml:space="preserve">Maths</t>
  </si>
  <si>
    <t xml:space="preserve">Never reimplement bid maths. Import from packages/calc.</t>
  </si>
  <si>
    <t xml:space="preserve">AR05</t>
  </si>
  <si>
    <t xml:space="preserve">Never type disclaimer text. Import from packages/content.</t>
  </si>
  <si>
    <t xml:space="preserve">AR06</t>
  </si>
  <si>
    <t xml:space="preserve">Tokens only. No hex values or arbitrary Tailwind values.</t>
  </si>
  <si>
    <t xml:space="preserve">AR07</t>
  </si>
  <si>
    <t xml:space="preserve">Client code</t>
  </si>
  <si>
    <t xml:space="preserve">Add use client only to the smallest interactive component that needs it.</t>
  </si>
  <si>
    <t xml:space="preserve">AR08</t>
  </si>
  <si>
    <t xml:space="preserve">Write mobile styles first and check the story at 375px before 1440px.</t>
  </si>
  <si>
    <t xml:space="preserve">AR09</t>
  </si>
  <si>
    <t xml:space="preserve">Checks</t>
  </si>
  <si>
    <t xml:space="preserve">Run lint, type check, unit tests and Storybook tests before finishing a task.</t>
  </si>
</sst>
</file>

<file path=xl/styles.xml><?xml version="1.0" encoding="utf-8"?>
<styleSheet xmlns="http://schemas.openxmlformats.org/spreadsheetml/2006/main">
  <numFmts count="11">
    <numFmt numFmtId="164" formatCode="General"/>
    <numFmt numFmtId="165" formatCode="0.00"/>
    <numFmt numFmtId="166" formatCode="0%"/>
    <numFmt numFmtId="167" formatCode="\$#,##0;&quot;($&quot;#,##0\);\-"/>
    <numFmt numFmtId="168" formatCode="0.0%;\(0.0%\);\-"/>
    <numFmt numFmtId="169" formatCode="0.0000"/>
    <numFmt numFmtId="170" formatCode="\$#,##0"/>
    <numFmt numFmtId="171" formatCode="\$#,##0.00"/>
    <numFmt numFmtId="172" formatCode="0"/>
    <numFmt numFmtId="173" formatCode="\$#,##0.000"/>
    <numFmt numFmtId="17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i val="true"/>
      <sz val="10"/>
      <color rgb="FF5A6478"/>
      <name val="Arial"/>
      <family val="0"/>
      <charset val="1"/>
    </font>
    <font>
      <b val="true"/>
      <sz val="10"/>
      <color rgb="FF1F2A44"/>
      <name val="Arial"/>
      <family val="0"/>
      <charset val="1"/>
    </font>
    <font>
      <sz val="10"/>
      <name val="Arial"/>
      <family val="0"/>
      <charset val="1"/>
    </font>
    <font>
      <b val="true"/>
      <sz val="11"/>
      <color rgb="FFFFFFFF"/>
      <name val="Arial"/>
      <family val="0"/>
      <charset val="1"/>
    </font>
    <font>
      <b val="true"/>
      <sz val="10"/>
      <color rgb="FFFFFFFF"/>
      <name val="Arial"/>
      <family val="0"/>
      <charset val="1"/>
    </font>
    <font>
      <b val="true"/>
      <sz val="10"/>
      <color rgb="FFB45309"/>
      <name val="Arial"/>
      <family val="0"/>
      <charset val="1"/>
    </font>
    <font>
      <b val="true"/>
      <sz val="10"/>
      <name val="Arial"/>
      <family val="0"/>
      <charset val="1"/>
    </font>
    <font>
      <sz val="10"/>
      <color rgb="FF0000FF"/>
      <name val="Arial"/>
      <family val="0"/>
      <charset val="1"/>
    </font>
    <font>
      <i val="true"/>
      <sz val="9"/>
      <color rgb="FF5A6478"/>
      <name val="Arial"/>
      <family val="0"/>
      <charset val="1"/>
    </font>
    <font>
      <sz val="10"/>
      <color rgb="FF008000"/>
      <name val="Arial"/>
      <family val="0"/>
      <charset val="1"/>
    </font>
  </fonts>
  <fills count="14">
    <fill>
      <patternFill patternType="none"/>
    </fill>
    <fill>
      <patternFill patternType="gray125"/>
    </fill>
    <fill>
      <patternFill patternType="solid">
        <fgColor rgb="FF3B4A6B"/>
        <bgColor rgb="FF5A6478"/>
      </patternFill>
    </fill>
    <fill>
      <patternFill patternType="solid">
        <fgColor rgb="FF1F2A44"/>
        <bgColor rgb="FF003366"/>
      </patternFill>
    </fill>
    <fill>
      <patternFill patternType="solid">
        <fgColor rgb="FFF7F8FB"/>
        <bgColor rgb="FFFFFFFF"/>
      </patternFill>
    </fill>
    <fill>
      <patternFill patternType="solid">
        <fgColor rgb="FFFFFF00"/>
        <bgColor rgb="FFFFFF00"/>
      </patternFill>
    </fill>
    <fill>
      <patternFill patternType="solid">
        <fgColor rgb="FFF4D6D6"/>
        <bgColor rgb="FFFFC7CE"/>
      </patternFill>
    </fill>
    <fill>
      <patternFill patternType="solid">
        <fgColor rgb="FFFDEBD0"/>
        <bgColor rgb="FFE2F0D9"/>
      </patternFill>
    </fill>
    <fill>
      <patternFill patternType="solid">
        <fgColor rgb="FFD6E4F4"/>
        <bgColor rgb="FFD5DAE3"/>
      </patternFill>
    </fill>
    <fill>
      <patternFill patternType="solid">
        <fgColor rgb="FFE2F0D9"/>
        <bgColor rgb="FFEDE7F6"/>
      </patternFill>
    </fill>
    <fill>
      <patternFill patternType="solid">
        <fgColor rgb="FFEDE7F6"/>
        <bgColor rgb="FFD6E4F4"/>
      </patternFill>
    </fill>
    <fill>
      <patternFill patternType="solid">
        <fgColor rgb="FFFFEB9C"/>
        <bgColor rgb="FFFDEBD0"/>
      </patternFill>
    </fill>
    <fill>
      <patternFill patternType="solid">
        <fgColor rgb="FFFFC7CE"/>
        <bgColor rgb="FFF4D6D6"/>
      </patternFill>
    </fill>
    <fill>
      <patternFill patternType="solid">
        <fgColor rgb="FFC6EFCE"/>
        <bgColor rgb="FFE2F0D9"/>
      </patternFill>
    </fill>
  </fills>
  <borders count="2">
    <border diagonalUp="false" diagonalDown="false">
      <left/>
      <right/>
      <top/>
      <bottom/>
      <diagonal/>
    </border>
    <border diagonalUp="false" diagonalDown="false">
      <left style="thin">
        <color rgb="FFD5DAE3"/>
      </left>
      <right style="thin">
        <color rgb="FFD5DAE3"/>
      </right>
      <top style="thin">
        <color rgb="FFD5DAE3"/>
      </top>
      <bottom style="thin">
        <color rgb="FFD5DA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bottom" textRotation="0" wrapText="true" indent="0" shrinkToFit="false"/>
      <protection locked="true" hidden="false"/>
    </xf>
    <xf numFmtId="166" fontId="12" fillId="5"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68" fontId="12"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12"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70" fontId="12" fillId="0" borderId="1" xfId="0" applyFont="true" applyBorder="true" applyAlignment="true" applyProtection="false">
      <alignment horizontal="general" vertical="top"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0" fontId="12" fillId="4" borderId="1" xfId="0" applyFont="true" applyBorder="true" applyAlignment="true" applyProtection="false">
      <alignment horizontal="general" vertical="top" textRotation="0" wrapText="true" indent="0" shrinkToFit="false"/>
      <protection locked="true" hidden="false"/>
    </xf>
    <xf numFmtId="172" fontId="12" fillId="5" borderId="1" xfId="0" applyFont="true" applyBorder="true" applyAlignment="false" applyProtection="false">
      <alignment horizontal="general" vertical="bottom" textRotation="0" wrapText="false" indent="0" shrinkToFit="false"/>
      <protection locked="true" hidden="false"/>
    </xf>
    <xf numFmtId="171" fontId="12" fillId="5" borderId="1" xfId="0" applyFont="true" applyBorder="true" applyAlignment="false" applyProtection="false">
      <alignment horizontal="general" vertical="bottom" textRotation="0" wrapText="false" indent="0" shrinkToFit="false"/>
      <protection locked="true" hidden="false"/>
    </xf>
    <xf numFmtId="173" fontId="12" fillId="5"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general" vertical="top" textRotation="0" wrapText="true" indent="0" shrinkToFit="false"/>
      <protection locked="true" hidden="false"/>
    </xf>
    <xf numFmtId="174" fontId="7" fillId="4"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6" fontId="12" fillId="4"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2A44"/>
          <bgColor rgb="FF000000"/>
        </patternFill>
      </fill>
    </dxf>
    <dxf>
      <fill>
        <patternFill patternType="solid">
          <fgColor rgb="FFF7F8FB"/>
          <bgColor rgb="FF000000"/>
        </patternFill>
      </fill>
    </dxf>
    <dxf>
      <fill>
        <patternFill patternType="solid">
          <bgColor rgb="FF000000"/>
        </patternFill>
      </fill>
    </dxf>
    <dxf>
      <fill>
        <patternFill patternType="solid">
          <fgColor rgb="FFFFFFFF"/>
          <bgColor rgb="FF000000"/>
        </patternFill>
      </fill>
    </dxf>
    <dxf>
      <fill>
        <patternFill patternType="solid">
          <fgColor rgb="FFB45309"/>
          <bgColor rgb="FF000000"/>
        </patternFill>
      </fill>
    </dxf>
    <dxf>
      <fill>
        <patternFill>
          <bgColor rgb="FFC6EFCE"/>
        </patternFill>
      </fill>
    </dxf>
    <dxf>
      <fill>
        <patternFill>
          <bgColor rgb="FFFFEB9C"/>
        </patternFill>
      </fill>
    </dxf>
    <dxf>
      <fill>
        <patternFill>
          <bgColor rgb="FFFFC7CE"/>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D6E4F4"/>
          <bgColor rgb="FF000000"/>
        </patternFill>
      </fill>
    </dxf>
    <dxf>
      <fill>
        <patternFill patternType="solid">
          <fgColor rgb="FFE2F0D9"/>
          <bgColor rgb="FF000000"/>
        </patternFill>
      </fill>
    </dxf>
    <dxf>
      <fill>
        <patternFill patternType="solid">
          <fgColor rgb="FFEDE7F6"/>
          <bgColor rgb="FF000000"/>
        </patternFill>
      </fill>
    </dxf>
    <dxf>
      <fill>
        <patternFill patternType="solid">
          <fgColor rgb="FFF4D6D6"/>
          <bgColor rgb="FF000000"/>
        </patternFill>
      </fill>
    </dxf>
    <dxf>
      <fill>
        <patternFill patternType="solid">
          <fgColor rgb="FFFDEBD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4D6D6"/>
      <rgbColor rgb="FF808080"/>
      <rgbColor rgb="FF9999FF"/>
      <rgbColor rgb="FF993366"/>
      <rgbColor rgb="FFFDEBD0"/>
      <rgbColor rgb="FFE2F0D9"/>
      <rgbColor rgb="FF660066"/>
      <rgbColor rgb="FFFF8080"/>
      <rgbColor rgb="FF0066CC"/>
      <rgbColor rgb="FFD5DAE3"/>
      <rgbColor rgb="FF000080"/>
      <rgbColor rgb="FFFF00FF"/>
      <rgbColor rgb="FFFFFF00"/>
      <rgbColor rgb="FF00FFFF"/>
      <rgbColor rgb="FF800080"/>
      <rgbColor rgb="FF800000"/>
      <rgbColor rgb="FF008080"/>
      <rgbColor rgb="FF0000FF"/>
      <rgbColor rgb="FF00CCFF"/>
      <rgbColor rgb="FFD6E4F4"/>
      <rgbColor rgb="FFC6EFCE"/>
      <rgbColor rgb="FFFFEB9C"/>
      <rgbColor rgb="FFEDE7F6"/>
      <rgbColor rgb="FFF7F8FB"/>
      <rgbColor rgb="FFCC99FF"/>
      <rgbColor rgb="FFFFC7CE"/>
      <rgbColor rgb="FF3366FF"/>
      <rgbColor rgb="FF33CCCC"/>
      <rgbColor rgb="FF99CC00"/>
      <rgbColor rgb="FFFFCC00"/>
      <rgbColor rgb="FFFF9900"/>
      <rgbColor rgb="FFFF6600"/>
      <rgbColor rgb="FF5A6478"/>
      <rgbColor rgb="FF969696"/>
      <rgbColor rgb="FF003366"/>
      <rgbColor rgb="FF339966"/>
      <rgbColor rgb="FF003300"/>
      <rgbColor rgb="FF333300"/>
      <rgbColor rgb="FFB45309"/>
      <rgbColor rgb="FF993366"/>
      <rgbColor rgb="FF3B4A6B"/>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21.xml.rels><?xml version="1.0" encoding="UTF-8"?>
<Relationships xmlns="http://schemas.openxmlformats.org/package/2006/relationships"><Relationship Id="rId1" Type="http://schemas.openxmlformats.org/officeDocument/2006/relationships/drawing" Target="../drawings/drawing14.xml"/>
</Relationships>
</file>

<file path=xl/worksheets/_rels/sheet22.xml.rels><?xml version="1.0" encoding="UTF-8"?>
<Relationships xmlns="http://schemas.openxmlformats.org/package/2006/relationships"><Relationship Id="rId1" Type="http://schemas.openxmlformats.org/officeDocument/2006/relationships/drawing" Target="../drawings/drawing15.xml"/>
</Relationships>
</file>

<file path=xl/worksheets/_rels/sheet23.xml.rels><?xml version="1.0" encoding="UTF-8"?>
<Relationships xmlns="http://schemas.openxmlformats.org/package/2006/relationships"><Relationship Id="rId1" Type="http://schemas.openxmlformats.org/officeDocument/2006/relationships/drawing" Target="../drawings/drawing16.xml"/>
</Relationships>
</file>

<file path=xl/worksheets/_rels/sheet24.xml.rels><?xml version="1.0" encoding="UTF-8"?>
<Relationships xmlns="http://schemas.openxmlformats.org/package/2006/relationships"><Relationship Id="rId1" Type="http://schemas.openxmlformats.org/officeDocument/2006/relationships/drawing" Target="../drawings/drawing17.xml"/>
</Relationships>
</file>

<file path=xl/worksheets/_rels/sheet25.xml.rels><?xml version="1.0" encoding="UTF-8"?>
<Relationships xmlns="http://schemas.openxmlformats.org/package/2006/relationships"><Relationship Id="rId1" Type="http://schemas.openxmlformats.org/officeDocument/2006/relationships/drawing" Target="../drawings/drawing18.xml"/>
</Relationships>
</file>

<file path=xl/worksheets/_rels/sheet26.xml.rels><?xml version="1.0" encoding="UTF-8"?>
<Relationships xmlns="http://schemas.openxmlformats.org/package/2006/relationships"><Relationship Id="rId1" Type="http://schemas.openxmlformats.org/officeDocument/2006/relationships/drawing" Target="../drawings/drawing19.xml"/>
</Relationships>
</file>

<file path=xl/worksheets/_rels/sheet28.xml.rels><?xml version="1.0" encoding="UTF-8"?>
<Relationships xmlns="http://schemas.openxmlformats.org/package/2006/relationships"><Relationship Id="rId1" Type="http://schemas.openxmlformats.org/officeDocument/2006/relationships/drawing" Target="../drawings/drawing20.xml"/>
</Relationships>
</file>

<file path=xl/worksheets/_rels/sheet31.xml.rels><?xml version="1.0" encoding="UTF-8"?>
<Relationships xmlns="http://schemas.openxmlformats.org/package/2006/relationships"><Relationship Id="rId1" Type="http://schemas.openxmlformats.org/officeDocument/2006/relationships/drawing" Target="../drawings/drawing21.xml"/>
</Relationships>
</file>

<file path=xl/worksheets/_rels/sheet35.xml.rels><?xml version="1.0" encoding="UTF-8"?>
<Relationships xmlns="http://schemas.openxmlformats.org/package/2006/relationships"><Relationship Id="rId1" Type="http://schemas.openxmlformats.org/officeDocument/2006/relationships/drawing" Target="../drawings/drawing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23.85" hidden="false" customHeight="false" outlineLevel="0" collapsed="false">
      <c r="A8" s="3" t="s">
        <v>10</v>
      </c>
      <c r="B8" s="4" t="s">
        <v>11</v>
      </c>
    </row>
    <row r="9" customFormat="false" ht="23.85" hidden="false" customHeight="false" outlineLevel="0" collapsed="false">
      <c r="A9" s="3" t="s">
        <v>12</v>
      </c>
      <c r="B9" s="4" t="s">
        <v>13</v>
      </c>
    </row>
    <row r="10" customFormat="false" ht="23.85" hidden="false" customHeight="false" outlineLevel="0" collapsed="false">
      <c r="A10" s="3" t="s">
        <v>14</v>
      </c>
      <c r="B10" s="4" t="s">
        <v>15</v>
      </c>
    </row>
    <row r="11" customFormat="false" ht="23.85" hidden="false" customHeight="false" outlineLevel="0" collapsed="false">
      <c r="A11" s="3" t="s">
        <v>16</v>
      </c>
      <c r="B11" s="4" t="s">
        <v>17</v>
      </c>
    </row>
    <row r="13" customFormat="false" ht="15" hidden="false" customHeight="false" outlineLevel="0" collapsed="false">
      <c r="A13" s="5" t="s">
        <v>18</v>
      </c>
      <c r="B13" s="6"/>
    </row>
    <row r="14" customFormat="false" ht="15" hidden="false" customHeight="false" outlineLevel="0" collapsed="false">
      <c r="A14" s="3" t="s">
        <v>19</v>
      </c>
      <c r="B14" s="4" t="s">
        <v>20</v>
      </c>
    </row>
    <row r="15" customFormat="false" ht="15" hidden="false" customHeight="false" outlineLevel="0" collapsed="false">
      <c r="A15" s="3" t="s">
        <v>21</v>
      </c>
      <c r="B15" s="4" t="s">
        <v>22</v>
      </c>
    </row>
    <row r="16" customFormat="false" ht="15" hidden="false" customHeight="false" outlineLevel="0" collapsed="false">
      <c r="A16" s="3" t="s">
        <v>23</v>
      </c>
      <c r="B16" s="4" t="s">
        <v>24</v>
      </c>
    </row>
    <row r="17" customFormat="false" ht="15" hidden="false" customHeight="false" outlineLevel="0" collapsed="false">
      <c r="A17" s="3" t="s">
        <v>25</v>
      </c>
      <c r="B17" s="4" t="s">
        <v>26</v>
      </c>
    </row>
    <row r="18" customFormat="false" ht="15" hidden="false" customHeight="false" outlineLevel="0" collapsed="false">
      <c r="A18" s="3" t="s">
        <v>27</v>
      </c>
      <c r="B18" s="4" t="s">
        <v>28</v>
      </c>
    </row>
    <row r="19" customFormat="false" ht="15" hidden="false" customHeight="false" outlineLevel="0" collapsed="false">
      <c r="A19" s="3" t="s">
        <v>29</v>
      </c>
      <c r="B19" s="4" t="s">
        <v>30</v>
      </c>
    </row>
    <row r="20" customFormat="false" ht="15" hidden="false" customHeight="false" outlineLevel="0" collapsed="false">
      <c r="A20" s="3" t="s">
        <v>31</v>
      </c>
      <c r="B20" s="4" t="s">
        <v>32</v>
      </c>
    </row>
    <row r="21" customFormat="false" ht="15" hidden="false" customHeight="false" outlineLevel="0" collapsed="false">
      <c r="A21" s="3" t="s">
        <v>33</v>
      </c>
      <c r="B21" s="4" t="s">
        <v>34</v>
      </c>
    </row>
    <row r="22" customFormat="false" ht="15" hidden="false" customHeight="false" outlineLevel="0" collapsed="false">
      <c r="A22" s="3" t="s">
        <v>35</v>
      </c>
      <c r="B22" s="4" t="s">
        <v>36</v>
      </c>
    </row>
    <row r="23" customFormat="false" ht="15" hidden="false" customHeight="false" outlineLevel="0" collapsed="false">
      <c r="A23" s="3" t="s">
        <v>37</v>
      </c>
      <c r="B23" s="4" t="s">
        <v>38</v>
      </c>
    </row>
    <row r="24" customFormat="false" ht="15" hidden="false" customHeight="false" outlineLevel="0" collapsed="false">
      <c r="A24" s="3" t="s">
        <v>39</v>
      </c>
      <c r="B24" s="4" t="s">
        <v>40</v>
      </c>
    </row>
    <row r="25" customFormat="false" ht="15" hidden="false" customHeight="false" outlineLevel="0" collapsed="false">
      <c r="A25" s="3" t="s">
        <v>41</v>
      </c>
      <c r="B25" s="4" t="s">
        <v>42</v>
      </c>
    </row>
    <row r="26" customFormat="false" ht="15" hidden="false" customHeight="false" outlineLevel="0" collapsed="false">
      <c r="A26" s="3" t="s">
        <v>43</v>
      </c>
      <c r="B26" s="4" t="s">
        <v>44</v>
      </c>
    </row>
    <row r="27" customFormat="false" ht="15" hidden="false" customHeight="false" outlineLevel="0" collapsed="false">
      <c r="A27" s="3" t="s">
        <v>45</v>
      </c>
      <c r="B27" s="4" t="s">
        <v>46</v>
      </c>
    </row>
    <row r="28" customFormat="false" ht="15" hidden="false" customHeight="false" outlineLevel="0" collapsed="false">
      <c r="A28" s="3" t="s">
        <v>47</v>
      </c>
      <c r="B28" s="4" t="s">
        <v>48</v>
      </c>
    </row>
    <row r="29" customFormat="false" ht="15" hidden="false" customHeight="false" outlineLevel="0" collapsed="false">
      <c r="A29" s="3" t="s">
        <v>49</v>
      </c>
      <c r="B29" s="4" t="s">
        <v>50</v>
      </c>
    </row>
    <row r="30" customFormat="false" ht="15" hidden="false" customHeight="false" outlineLevel="0" collapsed="false">
      <c r="A30" s="3" t="s">
        <v>51</v>
      </c>
      <c r="B30" s="4" t="s">
        <v>52</v>
      </c>
    </row>
    <row r="31" customFormat="false" ht="15" hidden="false" customHeight="false" outlineLevel="0" collapsed="false">
      <c r="A31" s="3" t="s">
        <v>53</v>
      </c>
      <c r="B31" s="4" t="s">
        <v>54</v>
      </c>
    </row>
    <row r="32" customFormat="false" ht="15" hidden="false" customHeight="false" outlineLevel="0" collapsed="false">
      <c r="A32" s="3" t="s">
        <v>55</v>
      </c>
      <c r="B32" s="4" t="s">
        <v>56</v>
      </c>
    </row>
    <row r="33" customFormat="false" ht="15" hidden="false" customHeight="false" outlineLevel="0" collapsed="false">
      <c r="A33" s="3" t="s">
        <v>57</v>
      </c>
      <c r="B33" s="4" t="s">
        <v>58</v>
      </c>
    </row>
    <row r="34" customFormat="false" ht="15" hidden="false" customHeight="false" outlineLevel="0" collapsed="false">
      <c r="A34" s="3" t="s">
        <v>59</v>
      </c>
      <c r="B34" s="4" t="s">
        <v>60</v>
      </c>
    </row>
    <row r="35" customFormat="false" ht="15" hidden="false" customHeight="false" outlineLevel="0" collapsed="false">
      <c r="A35" s="3" t="s">
        <v>61</v>
      </c>
      <c r="B35" s="4" t="s">
        <v>62</v>
      </c>
    </row>
    <row r="36" customFormat="false" ht="15" hidden="false" customHeight="false" outlineLevel="0" collapsed="false">
      <c r="A36" s="3" t="s">
        <v>63</v>
      </c>
      <c r="B36" s="4" t="s">
        <v>64</v>
      </c>
    </row>
    <row r="37" customFormat="false" ht="15" hidden="false" customHeight="false" outlineLevel="0" collapsed="false">
      <c r="A37" s="3" t="s">
        <v>65</v>
      </c>
      <c r="B37" s="4" t="s">
        <v>66</v>
      </c>
    </row>
    <row r="38" customFormat="false" ht="15" hidden="false" customHeight="false" outlineLevel="0" collapsed="false">
      <c r="A38" s="3" t="s">
        <v>67</v>
      </c>
      <c r="B38" s="4" t="s">
        <v>68</v>
      </c>
    </row>
    <row r="39" customFormat="false" ht="15" hidden="false" customHeight="false" outlineLevel="0" collapsed="false">
      <c r="A39" s="3" t="s">
        <v>69</v>
      </c>
      <c r="B39" s="4" t="s">
        <v>70</v>
      </c>
    </row>
    <row r="40" customFormat="false" ht="15" hidden="false" customHeight="false" outlineLevel="0" collapsed="false">
      <c r="A40" s="3" t="s">
        <v>71</v>
      </c>
      <c r="B40" s="4" t="s">
        <v>72</v>
      </c>
    </row>
    <row r="41" customFormat="false" ht="15" hidden="false" customHeight="false" outlineLevel="0" collapsed="false">
      <c r="A41" s="3" t="s">
        <v>73</v>
      </c>
      <c r="B41" s="4" t="s">
        <v>74</v>
      </c>
    </row>
    <row r="42" customFormat="false" ht="15" hidden="false" customHeight="false" outlineLevel="0" collapsed="false">
      <c r="A42" s="3" t="s">
        <v>75</v>
      </c>
      <c r="B42" s="4" t="s">
        <v>76</v>
      </c>
    </row>
    <row r="43" customFormat="false" ht="15" hidden="false" customHeight="false" outlineLevel="0" collapsed="false">
      <c r="A43" s="3" t="s">
        <v>77</v>
      </c>
      <c r="B43" s="4" t="s">
        <v>78</v>
      </c>
    </row>
    <row r="44" customFormat="false" ht="15" hidden="false" customHeight="false" outlineLevel="0" collapsed="false">
      <c r="A44" s="3" t="s">
        <v>79</v>
      </c>
      <c r="B44" s="4" t="s">
        <v>80</v>
      </c>
    </row>
    <row r="45" customFormat="false" ht="15" hidden="false" customHeight="false" outlineLevel="0" collapsed="false">
      <c r="A45" s="3" t="s">
        <v>81</v>
      </c>
      <c r="B45" s="4" t="s">
        <v>82</v>
      </c>
    </row>
    <row r="46" customFormat="false" ht="15" hidden="false" customHeight="false" outlineLevel="0" collapsed="false">
      <c r="A46" s="3" t="s">
        <v>83</v>
      </c>
      <c r="B46" s="4" t="s">
        <v>84</v>
      </c>
    </row>
    <row r="47" customFormat="false" ht="15" hidden="false" customHeight="false" outlineLevel="0" collapsed="false">
      <c r="A47" s="3" t="s">
        <v>85</v>
      </c>
      <c r="B47" s="4" t="s">
        <v>86</v>
      </c>
    </row>
    <row r="48" customFormat="false" ht="15" hidden="false" customHeight="false" outlineLevel="0" collapsed="false">
      <c r="A48" s="3" t="s">
        <v>87</v>
      </c>
      <c r="B48" s="4" t="s">
        <v>88</v>
      </c>
    </row>
    <row r="49" customFormat="false" ht="15" hidden="false" customHeight="false" outlineLevel="0" collapsed="false">
      <c r="A49" s="3" t="s">
        <v>89</v>
      </c>
      <c r="B49" s="4" t="s">
        <v>90</v>
      </c>
    </row>
    <row r="50" customFormat="false" ht="15" hidden="false" customHeight="false" outlineLevel="0" collapsed="false">
      <c r="A50" s="3" t="s">
        <v>91</v>
      </c>
      <c r="B50" s="4" t="s">
        <v>92</v>
      </c>
    </row>
    <row r="51" customFormat="false" ht="15" hidden="false" customHeight="false" outlineLevel="0" collapsed="false">
      <c r="A51" s="3" t="s">
        <v>93</v>
      </c>
      <c r="B51" s="4" t="s">
        <v>94</v>
      </c>
    </row>
    <row r="52" customFormat="false" ht="15" hidden="false" customHeight="false" outlineLevel="0" collapsed="false">
      <c r="A52" s="3" t="s">
        <v>95</v>
      </c>
      <c r="B52" s="4"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97</v>
      </c>
    </row>
    <row r="3" customFormat="false" ht="15" hidden="false" customHeight="false" outlineLevel="0" collapsed="false">
      <c r="A3" s="3" t="s">
        <v>98</v>
      </c>
      <c r="B3" s="4" t="s">
        <v>99</v>
      </c>
    </row>
    <row r="4" customFormat="false" ht="23.85" hidden="false" customHeight="false" outlineLevel="0" collapsed="false">
      <c r="A4" s="3" t="s">
        <v>100</v>
      </c>
      <c r="B4" s="4" t="s">
        <v>101</v>
      </c>
    </row>
    <row r="5" customFormat="false" ht="23.85" hidden="false" customHeight="false" outlineLevel="0" collapsed="false">
      <c r="A5" s="3" t="s">
        <v>102</v>
      </c>
      <c r="B5" s="4" t="s">
        <v>103</v>
      </c>
    </row>
    <row r="6" customFormat="false" ht="46.25" hidden="false" customHeight="false" outlineLevel="0" collapsed="false">
      <c r="A6" s="3" t="s">
        <v>104</v>
      </c>
      <c r="B6" s="4" t="s">
        <v>105</v>
      </c>
    </row>
    <row r="7" customFormat="false" ht="23.85" hidden="false" customHeight="false" outlineLevel="0" collapsed="false">
      <c r="A7" s="3" t="s">
        <v>106</v>
      </c>
      <c r="B7" s="4" t="s">
        <v>107</v>
      </c>
    </row>
    <row r="8" customFormat="false" ht="15" hidden="false" customHeight="false" outlineLevel="0" collapsed="false">
      <c r="A8" s="3" t="s">
        <v>108</v>
      </c>
      <c r="B8" s="4" t="s">
        <v>109</v>
      </c>
    </row>
    <row r="9" customFormat="false" ht="15" hidden="false" customHeight="false" outlineLevel="0" collapsed="false">
      <c r="A9" s="3" t="s">
        <v>110</v>
      </c>
      <c r="B9" s="4" t="s">
        <v>111</v>
      </c>
    </row>
    <row r="10" customFormat="false" ht="15" hidden="false" customHeight="false" outlineLevel="0" collapsed="false">
      <c r="A10" s="3" t="s">
        <v>112</v>
      </c>
      <c r="B10" s="4" t="s">
        <v>113</v>
      </c>
    </row>
    <row r="11" customFormat="false" ht="23.85" hidden="false" customHeight="false" outlineLevel="0" collapsed="false">
      <c r="A11" s="3" t="s">
        <v>114</v>
      </c>
      <c r="B11" s="4" t="s">
        <v>115</v>
      </c>
    </row>
    <row r="12" customFormat="false" ht="23.85" hidden="false" customHeight="false" outlineLevel="0" collapsed="false">
      <c r="A12" s="3" t="s">
        <v>116</v>
      </c>
      <c r="B12" s="4" t="s">
        <v>117</v>
      </c>
    </row>
    <row r="13" customFormat="false" ht="15" hidden="false" customHeight="false" outlineLevel="0" collapsed="false">
      <c r="A13" s="3" t="s">
        <v>118</v>
      </c>
      <c r="B13" s="4" t="s">
        <v>119</v>
      </c>
    </row>
    <row r="14" customFormat="false" ht="23.85" hidden="false" customHeight="false" outlineLevel="0" collapsed="false">
      <c r="A14" s="3" t="s">
        <v>120</v>
      </c>
      <c r="B14" s="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30"/>
    <col collapsed="false" customWidth="true" hidden="false" outlineLevel="0" max="4" min="4" style="0" width="48"/>
    <col collapsed="false" customWidth="true" hidden="false" outlineLevel="0" max="5" min="5" style="0" width="14"/>
    <col collapsed="false" customWidth="true" hidden="false" outlineLevel="0" max="6" min="6" style="0" width="70"/>
  </cols>
  <sheetData>
    <row r="1" customFormat="false" ht="19.7" hidden="false" customHeight="false" outlineLevel="0" collapsed="false">
      <c r="A1" s="1" t="s">
        <v>122</v>
      </c>
    </row>
    <row r="2" customFormat="false" ht="15" hidden="false" customHeight="false" outlineLevel="0" collapsed="false">
      <c r="A2" s="2" t="s">
        <v>123</v>
      </c>
    </row>
    <row r="4" customFormat="false" ht="35.05" hidden="false" customHeight="false" outlineLevel="0" collapsed="false">
      <c r="A4" s="7" t="s">
        <v>124</v>
      </c>
      <c r="B4" s="7" t="s">
        <v>125</v>
      </c>
      <c r="C4" s="7" t="s">
        <v>126</v>
      </c>
      <c r="D4" s="7" t="s">
        <v>127</v>
      </c>
      <c r="E4" s="7" t="s">
        <v>128</v>
      </c>
      <c r="F4" s="7" t="s">
        <v>129</v>
      </c>
    </row>
    <row r="5" customFormat="false" ht="15" hidden="false" customHeight="false" outlineLevel="0" collapsed="false">
      <c r="A5" s="8" t="s">
        <v>130</v>
      </c>
      <c r="B5" s="8" t="s">
        <v>131</v>
      </c>
      <c r="C5" s="8" t="s">
        <v>132</v>
      </c>
      <c r="D5" s="8" t="s">
        <v>133</v>
      </c>
      <c r="E5" s="8" t="s">
        <v>134</v>
      </c>
      <c r="F5" s="8" t="s">
        <v>135</v>
      </c>
    </row>
    <row r="6" customFormat="false" ht="23.85" hidden="false" customHeight="false" outlineLevel="0" collapsed="false">
      <c r="A6" s="9" t="s">
        <v>136</v>
      </c>
      <c r="B6" s="9" t="s">
        <v>131</v>
      </c>
      <c r="C6" s="9" t="s">
        <v>137</v>
      </c>
      <c r="D6" s="9" t="s">
        <v>138</v>
      </c>
      <c r="E6" s="10" t="s">
        <v>139</v>
      </c>
      <c r="F6" s="9" t="s">
        <v>140</v>
      </c>
    </row>
    <row r="7" customFormat="false" ht="15" hidden="false" customHeight="false" outlineLevel="0" collapsed="false">
      <c r="A7" s="8" t="s">
        <v>141</v>
      </c>
      <c r="B7" s="8" t="s">
        <v>131</v>
      </c>
      <c r="C7" s="8" t="s">
        <v>142</v>
      </c>
      <c r="D7" s="8" t="s">
        <v>143</v>
      </c>
      <c r="E7" s="8" t="s">
        <v>144</v>
      </c>
      <c r="F7" s="8" t="s">
        <v>145</v>
      </c>
    </row>
    <row r="8" customFormat="false" ht="15" hidden="false" customHeight="false" outlineLevel="0" collapsed="false">
      <c r="A8" s="9" t="s">
        <v>146</v>
      </c>
      <c r="B8" s="9" t="s">
        <v>147</v>
      </c>
      <c r="C8" s="9" t="s">
        <v>148</v>
      </c>
      <c r="D8" s="9" t="s">
        <v>149</v>
      </c>
      <c r="E8" s="9" t="s">
        <v>134</v>
      </c>
      <c r="F8" s="9" t="s">
        <v>150</v>
      </c>
    </row>
    <row r="9" customFormat="false" ht="15" hidden="false" customHeight="false" outlineLevel="0" collapsed="false">
      <c r="A9" s="8" t="s">
        <v>151</v>
      </c>
      <c r="B9" s="8" t="s">
        <v>147</v>
      </c>
      <c r="C9" s="8" t="s">
        <v>152</v>
      </c>
      <c r="D9" s="8" t="s">
        <v>153</v>
      </c>
      <c r="E9" s="8" t="s">
        <v>134</v>
      </c>
      <c r="F9" s="8" t="s">
        <v>154</v>
      </c>
    </row>
    <row r="10" customFormat="false" ht="15" hidden="false" customHeight="false" outlineLevel="0" collapsed="false">
      <c r="A10" s="9" t="s">
        <v>155</v>
      </c>
      <c r="B10" s="9" t="s">
        <v>147</v>
      </c>
      <c r="C10" s="9" t="s">
        <v>156</v>
      </c>
      <c r="D10" s="9" t="s">
        <v>157</v>
      </c>
      <c r="E10" s="9" t="s">
        <v>134</v>
      </c>
      <c r="F10" s="9" t="s">
        <v>158</v>
      </c>
    </row>
    <row r="11" customFormat="false" ht="15" hidden="false" customHeight="false" outlineLevel="0" collapsed="false">
      <c r="A11" s="8" t="s">
        <v>159</v>
      </c>
      <c r="B11" s="8" t="s">
        <v>160</v>
      </c>
      <c r="C11" s="8" t="s">
        <v>161</v>
      </c>
      <c r="D11" s="8" t="s">
        <v>162</v>
      </c>
      <c r="E11" s="8" t="s">
        <v>134</v>
      </c>
      <c r="F11" s="8" t="s">
        <v>163</v>
      </c>
    </row>
    <row r="12" customFormat="false" ht="15" hidden="false" customHeight="false" outlineLevel="0" collapsed="false">
      <c r="A12" s="9" t="s">
        <v>164</v>
      </c>
      <c r="B12" s="9" t="s">
        <v>160</v>
      </c>
      <c r="C12" s="9" t="s">
        <v>165</v>
      </c>
      <c r="D12" s="9" t="s">
        <v>166</v>
      </c>
      <c r="E12" s="9" t="s">
        <v>134</v>
      </c>
      <c r="F12" s="9" t="s">
        <v>167</v>
      </c>
    </row>
    <row r="13" customFormat="false" ht="23.85" hidden="false" customHeight="false" outlineLevel="0" collapsed="false">
      <c r="A13" s="8" t="s">
        <v>168</v>
      </c>
      <c r="B13" s="8" t="s">
        <v>160</v>
      </c>
      <c r="C13" s="8" t="s">
        <v>169</v>
      </c>
      <c r="D13" s="8" t="s">
        <v>170</v>
      </c>
      <c r="E13" s="8" t="s">
        <v>134</v>
      </c>
      <c r="F13" s="8" t="s">
        <v>171</v>
      </c>
    </row>
    <row r="14" customFormat="false" ht="15" hidden="false" customHeight="false" outlineLevel="0" collapsed="false">
      <c r="A14" s="9" t="s">
        <v>172</v>
      </c>
      <c r="B14" s="9" t="s">
        <v>173</v>
      </c>
      <c r="C14" s="9" t="s">
        <v>174</v>
      </c>
      <c r="D14" s="9" t="s">
        <v>175</v>
      </c>
      <c r="E14" s="9" t="s">
        <v>134</v>
      </c>
      <c r="F14" s="9" t="s">
        <v>176</v>
      </c>
    </row>
    <row r="15" customFormat="false" ht="15" hidden="false" customHeight="false" outlineLevel="0" collapsed="false">
      <c r="A15" s="8" t="s">
        <v>177</v>
      </c>
      <c r="B15" s="8" t="s">
        <v>173</v>
      </c>
      <c r="C15" s="8" t="s">
        <v>178</v>
      </c>
      <c r="D15" s="8" t="s">
        <v>179</v>
      </c>
      <c r="E15" s="8" t="s">
        <v>134</v>
      </c>
      <c r="F15" s="8" t="s">
        <v>180</v>
      </c>
    </row>
    <row r="16" customFormat="false" ht="15" hidden="false" customHeight="false" outlineLevel="0" collapsed="false">
      <c r="A16" s="9" t="s">
        <v>181</v>
      </c>
      <c r="B16" s="9" t="s">
        <v>173</v>
      </c>
      <c r="C16" s="9" t="s">
        <v>182</v>
      </c>
      <c r="D16" s="9" t="s">
        <v>183</v>
      </c>
      <c r="E16" s="9" t="s">
        <v>134</v>
      </c>
      <c r="F16" s="9" t="s">
        <v>184</v>
      </c>
    </row>
    <row r="17" customFormat="false" ht="15" hidden="false" customHeight="false" outlineLevel="0" collapsed="false">
      <c r="A17" s="8" t="s">
        <v>185</v>
      </c>
      <c r="B17" s="8" t="s">
        <v>186</v>
      </c>
      <c r="C17" s="8" t="s">
        <v>187</v>
      </c>
      <c r="D17" s="8" t="s">
        <v>188</v>
      </c>
      <c r="E17" s="8" t="s">
        <v>134</v>
      </c>
      <c r="F17" s="8" t="s">
        <v>189</v>
      </c>
    </row>
    <row r="18" customFormat="false" ht="15" hidden="false" customHeight="false" outlineLevel="0" collapsed="false">
      <c r="A18" s="9" t="s">
        <v>190</v>
      </c>
      <c r="B18" s="9" t="s">
        <v>186</v>
      </c>
      <c r="C18" s="9" t="s">
        <v>191</v>
      </c>
      <c r="D18" s="9" t="s">
        <v>192</v>
      </c>
      <c r="E18" s="9" t="s">
        <v>134</v>
      </c>
      <c r="F18" s="9" t="s">
        <v>193</v>
      </c>
    </row>
    <row r="19" customFormat="false" ht="15" hidden="false" customHeight="false" outlineLevel="0" collapsed="false">
      <c r="A19" s="8" t="s">
        <v>194</v>
      </c>
      <c r="B19" s="8" t="s">
        <v>186</v>
      </c>
      <c r="C19" s="8" t="s">
        <v>195</v>
      </c>
      <c r="D19" s="8" t="s">
        <v>196</v>
      </c>
      <c r="E19" s="8" t="s">
        <v>134</v>
      </c>
      <c r="F19" s="8" t="s">
        <v>197</v>
      </c>
    </row>
    <row r="20" customFormat="false" ht="23.85" hidden="false" customHeight="false" outlineLevel="0" collapsed="false">
      <c r="A20" s="9" t="s">
        <v>198</v>
      </c>
      <c r="B20" s="9" t="s">
        <v>199</v>
      </c>
      <c r="C20" s="9" t="s">
        <v>200</v>
      </c>
      <c r="D20" s="9" t="s">
        <v>201</v>
      </c>
      <c r="E20" s="9" t="s">
        <v>134</v>
      </c>
      <c r="F20" s="9" t="s">
        <v>202</v>
      </c>
    </row>
    <row r="21" customFormat="false" ht="23.85" hidden="false" customHeight="false" outlineLevel="0" collapsed="false">
      <c r="A21" s="8" t="s">
        <v>203</v>
      </c>
      <c r="B21" s="8" t="s">
        <v>199</v>
      </c>
      <c r="C21" s="8" t="s">
        <v>204</v>
      </c>
      <c r="D21" s="8" t="s">
        <v>205</v>
      </c>
      <c r="E21" s="8" t="s">
        <v>134</v>
      </c>
      <c r="F21" s="8" t="s">
        <v>206</v>
      </c>
    </row>
    <row r="22" customFormat="false" ht="15" hidden="false" customHeight="false" outlineLevel="0" collapsed="false">
      <c r="A22" s="9" t="s">
        <v>207</v>
      </c>
      <c r="B22" s="9" t="s">
        <v>199</v>
      </c>
      <c r="C22" s="9" t="s">
        <v>208</v>
      </c>
      <c r="D22" s="9" t="s">
        <v>209</v>
      </c>
      <c r="E22" s="9" t="s">
        <v>134</v>
      </c>
      <c r="F22" s="9" t="s">
        <v>210</v>
      </c>
    </row>
    <row r="23" customFormat="false" ht="15" hidden="false" customHeight="false" outlineLevel="0" collapsed="false">
      <c r="A23" s="8" t="s">
        <v>211</v>
      </c>
      <c r="B23" s="8" t="s">
        <v>212</v>
      </c>
      <c r="C23" s="8" t="s">
        <v>213</v>
      </c>
      <c r="D23" s="8" t="s">
        <v>214</v>
      </c>
      <c r="E23" s="8" t="s">
        <v>134</v>
      </c>
      <c r="F23" s="8" t="s">
        <v>215</v>
      </c>
    </row>
    <row r="24" customFormat="false" ht="15" hidden="false" customHeight="false" outlineLevel="0" collapsed="false">
      <c r="A24" s="9" t="s">
        <v>216</v>
      </c>
      <c r="B24" s="9" t="s">
        <v>212</v>
      </c>
      <c r="C24" s="9" t="s">
        <v>217</v>
      </c>
      <c r="D24" s="9" t="s">
        <v>218</v>
      </c>
      <c r="E24" s="9" t="s">
        <v>134</v>
      </c>
      <c r="F24" s="9" t="s">
        <v>219</v>
      </c>
    </row>
    <row r="25" customFormat="false" ht="15" hidden="false" customHeight="false" outlineLevel="0" collapsed="false">
      <c r="A25" s="8" t="s">
        <v>220</v>
      </c>
      <c r="B25" s="8" t="s">
        <v>212</v>
      </c>
      <c r="C25" s="8" t="s">
        <v>221</v>
      </c>
      <c r="D25" s="8" t="s">
        <v>222</v>
      </c>
      <c r="E25" s="8" t="s">
        <v>134</v>
      </c>
      <c r="F25" s="8" t="s">
        <v>223</v>
      </c>
    </row>
    <row r="26" customFormat="false" ht="15" hidden="false" customHeight="false" outlineLevel="0" collapsed="false">
      <c r="A26" s="9" t="s">
        <v>224</v>
      </c>
      <c r="B26" s="9" t="s">
        <v>225</v>
      </c>
      <c r="C26" s="9" t="s">
        <v>226</v>
      </c>
      <c r="D26" s="9" t="s">
        <v>227</v>
      </c>
      <c r="E26" s="9" t="s">
        <v>134</v>
      </c>
      <c r="F26" s="9" t="s">
        <v>228</v>
      </c>
    </row>
    <row r="27" customFormat="false" ht="23.85" hidden="false" customHeight="false" outlineLevel="0" collapsed="false">
      <c r="A27" s="8" t="s">
        <v>229</v>
      </c>
      <c r="B27" s="8" t="s">
        <v>225</v>
      </c>
      <c r="C27" s="8" t="s">
        <v>230</v>
      </c>
      <c r="D27" s="8" t="s">
        <v>231</v>
      </c>
      <c r="E27" s="8" t="s">
        <v>134</v>
      </c>
      <c r="F27" s="8" t="s">
        <v>232</v>
      </c>
    </row>
    <row r="28" customFormat="false" ht="15" hidden="false" customHeight="false" outlineLevel="0" collapsed="false">
      <c r="A28" s="9" t="s">
        <v>233</v>
      </c>
      <c r="B28" s="9" t="s">
        <v>225</v>
      </c>
      <c r="C28" s="9" t="s">
        <v>234</v>
      </c>
      <c r="D28" s="9" t="s">
        <v>235</v>
      </c>
      <c r="E28" s="10" t="s">
        <v>139</v>
      </c>
      <c r="F28" s="9" t="s">
        <v>236</v>
      </c>
    </row>
    <row r="29" customFormat="false" ht="23.85" hidden="false" customHeight="false" outlineLevel="0" collapsed="false">
      <c r="A29" s="8" t="s">
        <v>237</v>
      </c>
      <c r="B29" s="8" t="s">
        <v>225</v>
      </c>
      <c r="C29" s="8" t="s">
        <v>238</v>
      </c>
      <c r="D29" s="8" t="s">
        <v>239</v>
      </c>
      <c r="E29" s="8" t="s">
        <v>134</v>
      </c>
      <c r="F29" s="8" t="s">
        <v>240</v>
      </c>
    </row>
    <row r="30" customFormat="false" ht="15" hidden="false" customHeight="false" outlineLevel="0" collapsed="false">
      <c r="A30" s="9" t="s">
        <v>241</v>
      </c>
      <c r="B30" s="9" t="s">
        <v>225</v>
      </c>
      <c r="C30" s="9" t="s">
        <v>242</v>
      </c>
      <c r="D30" s="9" t="s">
        <v>243</v>
      </c>
      <c r="E30" s="9" t="s">
        <v>134</v>
      </c>
      <c r="F30" s="9" t="s">
        <v>244</v>
      </c>
    </row>
    <row r="31" customFormat="false" ht="15" hidden="false" customHeight="false" outlineLevel="0" collapsed="false">
      <c r="A31" s="8" t="s">
        <v>245</v>
      </c>
      <c r="B31" s="8" t="s">
        <v>225</v>
      </c>
      <c r="C31" s="8" t="s">
        <v>246</v>
      </c>
      <c r="D31" s="8" t="s">
        <v>247</v>
      </c>
      <c r="E31" s="8" t="s">
        <v>134</v>
      </c>
      <c r="F31" s="8" t="s">
        <v>248</v>
      </c>
    </row>
    <row r="32" customFormat="false" ht="15" hidden="false" customHeight="false" outlineLevel="0" collapsed="false">
      <c r="A32" s="9" t="s">
        <v>249</v>
      </c>
      <c r="B32" s="9" t="s">
        <v>250</v>
      </c>
      <c r="C32" s="9" t="s">
        <v>251</v>
      </c>
      <c r="D32" s="9" t="s">
        <v>252</v>
      </c>
      <c r="E32" s="9" t="s">
        <v>134</v>
      </c>
      <c r="F32" s="9" t="s">
        <v>253</v>
      </c>
    </row>
    <row r="33" customFormat="false" ht="15" hidden="false" customHeight="false" outlineLevel="0" collapsed="false">
      <c r="A33" s="8" t="s">
        <v>254</v>
      </c>
      <c r="B33" s="8" t="s">
        <v>250</v>
      </c>
      <c r="C33" s="8" t="s">
        <v>255</v>
      </c>
      <c r="D33" s="8" t="s">
        <v>256</v>
      </c>
      <c r="E33" s="8" t="s">
        <v>134</v>
      </c>
      <c r="F33" s="8" t="s">
        <v>257</v>
      </c>
    </row>
    <row r="34" customFormat="false" ht="15" hidden="false" customHeight="false" outlineLevel="0" collapsed="false">
      <c r="A34" s="9" t="s">
        <v>258</v>
      </c>
      <c r="B34" s="9" t="s">
        <v>250</v>
      </c>
      <c r="C34" s="9" t="s">
        <v>259</v>
      </c>
      <c r="D34" s="9" t="s">
        <v>260</v>
      </c>
      <c r="E34" s="9" t="s">
        <v>134</v>
      </c>
      <c r="F34" s="9" t="s">
        <v>261</v>
      </c>
    </row>
    <row r="35" customFormat="false" ht="15" hidden="false" customHeight="false" outlineLevel="0" collapsed="false">
      <c r="A35" s="8" t="s">
        <v>262</v>
      </c>
      <c r="B35" s="8" t="s">
        <v>263</v>
      </c>
      <c r="C35" s="8" t="s">
        <v>264</v>
      </c>
      <c r="D35" s="8" t="s">
        <v>265</v>
      </c>
      <c r="E35" s="8" t="s">
        <v>134</v>
      </c>
      <c r="F35" s="8" t="s">
        <v>266</v>
      </c>
    </row>
    <row r="36" customFormat="false" ht="15" hidden="false" customHeight="false" outlineLevel="0" collapsed="false">
      <c r="A36" s="9" t="s">
        <v>267</v>
      </c>
      <c r="B36" s="9" t="s">
        <v>263</v>
      </c>
      <c r="C36" s="9" t="s">
        <v>268</v>
      </c>
      <c r="D36" s="9" t="s">
        <v>269</v>
      </c>
      <c r="E36" s="9" t="s">
        <v>134</v>
      </c>
      <c r="F36" s="9" t="s">
        <v>270</v>
      </c>
    </row>
    <row r="37" customFormat="false" ht="15" hidden="false" customHeight="false" outlineLevel="0" collapsed="false">
      <c r="A37" s="8" t="s">
        <v>271</v>
      </c>
      <c r="B37" s="8" t="s">
        <v>263</v>
      </c>
      <c r="C37" s="8" t="s">
        <v>272</v>
      </c>
      <c r="D37" s="8" t="s">
        <v>273</v>
      </c>
      <c r="E37" s="8" t="s">
        <v>134</v>
      </c>
      <c r="F37" s="8" t="s">
        <v>274</v>
      </c>
    </row>
    <row r="38" customFormat="false" ht="15" hidden="false" customHeight="false" outlineLevel="0" collapsed="false">
      <c r="A38" s="9" t="s">
        <v>275</v>
      </c>
      <c r="B38" s="9" t="s">
        <v>263</v>
      </c>
      <c r="C38" s="9" t="s">
        <v>276</v>
      </c>
      <c r="D38" s="9" t="s">
        <v>277</v>
      </c>
      <c r="E38" s="9" t="s">
        <v>134</v>
      </c>
      <c r="F38" s="9" t="s">
        <v>278</v>
      </c>
    </row>
    <row r="39" customFormat="false" ht="15" hidden="false" customHeight="false" outlineLevel="0" collapsed="false">
      <c r="A39" s="8" t="s">
        <v>279</v>
      </c>
      <c r="B39" s="8" t="s">
        <v>263</v>
      </c>
      <c r="C39" s="8" t="s">
        <v>280</v>
      </c>
      <c r="D39" s="8" t="s">
        <v>281</v>
      </c>
      <c r="E39" s="8" t="s">
        <v>134</v>
      </c>
      <c r="F39" s="8" t="s">
        <v>282</v>
      </c>
    </row>
    <row r="40" customFormat="false" ht="15" hidden="false" customHeight="false" outlineLevel="0" collapsed="false">
      <c r="A40" s="9" t="s">
        <v>283</v>
      </c>
      <c r="B40" s="9" t="s">
        <v>263</v>
      </c>
      <c r="C40" s="9" t="s">
        <v>284</v>
      </c>
      <c r="D40" s="9" t="s">
        <v>285</v>
      </c>
      <c r="E40" s="9" t="s">
        <v>134</v>
      </c>
      <c r="F40" s="9" t="s">
        <v>286</v>
      </c>
    </row>
    <row r="41" customFormat="false" ht="15" hidden="false" customHeight="false" outlineLevel="0" collapsed="false">
      <c r="A41" s="8" t="s">
        <v>287</v>
      </c>
      <c r="B41" s="8" t="s">
        <v>288</v>
      </c>
      <c r="C41" s="8" t="s">
        <v>289</v>
      </c>
      <c r="D41" s="8" t="s">
        <v>290</v>
      </c>
      <c r="E41" s="8" t="s">
        <v>134</v>
      </c>
      <c r="F41" s="8" t="s">
        <v>291</v>
      </c>
    </row>
    <row r="42" customFormat="false" ht="15" hidden="false" customHeight="false" outlineLevel="0" collapsed="false">
      <c r="A42" s="9" t="s">
        <v>292</v>
      </c>
      <c r="B42" s="9" t="s">
        <v>288</v>
      </c>
      <c r="C42" s="9" t="s">
        <v>293</v>
      </c>
      <c r="D42" s="9" t="s">
        <v>294</v>
      </c>
      <c r="E42" s="9" t="s">
        <v>134</v>
      </c>
      <c r="F42" s="9" t="s">
        <v>295</v>
      </c>
    </row>
    <row r="43" customFormat="false" ht="15" hidden="false" customHeight="false" outlineLevel="0" collapsed="false">
      <c r="A43" s="8" t="s">
        <v>296</v>
      </c>
      <c r="B43" s="8" t="s">
        <v>288</v>
      </c>
      <c r="C43" s="8" t="s">
        <v>297</v>
      </c>
      <c r="D43" s="8" t="s">
        <v>298</v>
      </c>
      <c r="E43" s="8" t="s">
        <v>134</v>
      </c>
      <c r="F43" s="8"/>
    </row>
    <row r="44" customFormat="false" ht="15" hidden="false" customHeight="false" outlineLevel="0" collapsed="false">
      <c r="A44" s="9" t="s">
        <v>299</v>
      </c>
      <c r="B44" s="9" t="s">
        <v>300</v>
      </c>
      <c r="C44" s="9" t="s">
        <v>301</v>
      </c>
      <c r="D44" s="9" t="s">
        <v>302</v>
      </c>
      <c r="E44" s="9" t="s">
        <v>134</v>
      </c>
      <c r="F44" s="9" t="s">
        <v>303</v>
      </c>
    </row>
    <row r="45" customFormat="false" ht="15" hidden="false" customHeight="false" outlineLevel="0" collapsed="false">
      <c r="A45" s="8" t="s">
        <v>304</v>
      </c>
      <c r="B45" s="8" t="s">
        <v>300</v>
      </c>
      <c r="C45" s="8" t="s">
        <v>305</v>
      </c>
      <c r="D45" s="8" t="s">
        <v>306</v>
      </c>
      <c r="E45" s="8" t="s">
        <v>134</v>
      </c>
      <c r="F45" s="8" t="s">
        <v>307</v>
      </c>
    </row>
    <row r="46" customFormat="false" ht="15" hidden="false" customHeight="false" outlineLevel="0" collapsed="false">
      <c r="A46" s="9" t="s">
        <v>308</v>
      </c>
      <c r="B46" s="9" t="s">
        <v>300</v>
      </c>
      <c r="C46" s="9" t="s">
        <v>98</v>
      </c>
      <c r="D46" s="9" t="s">
        <v>309</v>
      </c>
      <c r="E46" s="9" t="s">
        <v>134</v>
      </c>
      <c r="F46" s="9" t="s">
        <v>310</v>
      </c>
    </row>
    <row r="47" customFormat="false" ht="15" hidden="false" customHeight="false" outlineLevel="0" collapsed="false">
      <c r="A47" s="8" t="s">
        <v>311</v>
      </c>
      <c r="B47" s="8" t="s">
        <v>312</v>
      </c>
      <c r="C47" s="8" t="s">
        <v>313</v>
      </c>
      <c r="D47" s="8" t="s">
        <v>314</v>
      </c>
      <c r="E47" s="8" t="s">
        <v>134</v>
      </c>
      <c r="F47" s="8" t="s">
        <v>315</v>
      </c>
    </row>
    <row r="48" customFormat="false" ht="15" hidden="false" customHeight="false" outlineLevel="0" collapsed="false">
      <c r="A48" s="9" t="s">
        <v>316</v>
      </c>
      <c r="B48" s="9" t="s">
        <v>312</v>
      </c>
      <c r="C48" s="9" t="s">
        <v>317</v>
      </c>
      <c r="D48" s="9" t="s">
        <v>318</v>
      </c>
      <c r="E48" s="9" t="s">
        <v>134</v>
      </c>
      <c r="F48" s="9" t="s">
        <v>319</v>
      </c>
    </row>
    <row r="49" customFormat="false" ht="15" hidden="false" customHeight="false" outlineLevel="0" collapsed="false">
      <c r="A49" s="8" t="s">
        <v>320</v>
      </c>
      <c r="B49" s="8" t="s">
        <v>312</v>
      </c>
      <c r="C49" s="8" t="s">
        <v>321</v>
      </c>
      <c r="D49" s="8" t="s">
        <v>322</v>
      </c>
      <c r="E49" s="8" t="s">
        <v>134</v>
      </c>
      <c r="F49" s="8" t="s">
        <v>323</v>
      </c>
    </row>
    <row r="50" customFormat="false" ht="15" hidden="false" customHeight="false" outlineLevel="0" collapsed="false">
      <c r="A50" s="9" t="s">
        <v>324</v>
      </c>
      <c r="B50" s="9" t="s">
        <v>325</v>
      </c>
      <c r="C50" s="9" t="s">
        <v>326</v>
      </c>
      <c r="D50" s="9" t="s">
        <v>327</v>
      </c>
      <c r="E50" s="9" t="s">
        <v>134</v>
      </c>
      <c r="F50" s="9"/>
    </row>
    <row r="51" customFormat="false" ht="15" hidden="false" customHeight="false" outlineLevel="0" collapsed="false">
      <c r="A51" s="8" t="s">
        <v>328</v>
      </c>
      <c r="B51" s="8" t="s">
        <v>325</v>
      </c>
      <c r="C51" s="8" t="s">
        <v>329</v>
      </c>
      <c r="D51" s="8" t="s">
        <v>330</v>
      </c>
      <c r="E51" s="8" t="s">
        <v>134</v>
      </c>
      <c r="F51" s="8"/>
    </row>
    <row r="52" customFormat="false" ht="15" hidden="false" customHeight="false" outlineLevel="0" collapsed="false">
      <c r="A52" s="9" t="s">
        <v>331</v>
      </c>
      <c r="B52" s="9" t="s">
        <v>325</v>
      </c>
      <c r="C52" s="9" t="s">
        <v>332</v>
      </c>
      <c r="D52" s="9" t="s">
        <v>333</v>
      </c>
      <c r="E52" s="9" t="s">
        <v>144</v>
      </c>
      <c r="F52" s="9" t="s">
        <v>334</v>
      </c>
    </row>
    <row r="53" customFormat="false" ht="23.85" hidden="false" customHeight="false" outlineLevel="0" collapsed="false">
      <c r="A53" s="8" t="s">
        <v>335</v>
      </c>
      <c r="B53" s="8" t="s">
        <v>336</v>
      </c>
      <c r="C53" s="8" t="s">
        <v>337</v>
      </c>
      <c r="D53" s="8" t="s">
        <v>338</v>
      </c>
      <c r="E53" s="8" t="s">
        <v>134</v>
      </c>
      <c r="F53" s="8" t="s">
        <v>339</v>
      </c>
    </row>
    <row r="54" customFormat="false" ht="15" hidden="false" customHeight="false" outlineLevel="0" collapsed="false">
      <c r="A54" s="9" t="s">
        <v>340</v>
      </c>
      <c r="B54" s="9" t="s">
        <v>336</v>
      </c>
      <c r="C54" s="9" t="s">
        <v>341</v>
      </c>
      <c r="D54" s="9" t="s">
        <v>342</v>
      </c>
      <c r="E54" s="9" t="s">
        <v>134</v>
      </c>
      <c r="F54" s="9" t="s">
        <v>343</v>
      </c>
    </row>
    <row r="55" customFormat="false" ht="23.85" hidden="false" customHeight="false" outlineLevel="0" collapsed="false">
      <c r="A55" s="8" t="s">
        <v>344</v>
      </c>
      <c r="B55" s="8" t="s">
        <v>336</v>
      </c>
      <c r="C55" s="8" t="s">
        <v>345</v>
      </c>
      <c r="D55" s="8" t="s">
        <v>346</v>
      </c>
      <c r="E55" s="8" t="s">
        <v>134</v>
      </c>
      <c r="F55" s="8" t="s">
        <v>347</v>
      </c>
    </row>
    <row r="56" customFormat="false" ht="23.85" hidden="false" customHeight="false" outlineLevel="0" collapsed="false">
      <c r="A56" s="9" t="s">
        <v>348</v>
      </c>
      <c r="B56" s="9" t="s">
        <v>336</v>
      </c>
      <c r="C56" s="9" t="s">
        <v>349</v>
      </c>
      <c r="D56" s="9" t="s">
        <v>350</v>
      </c>
      <c r="E56" s="9" t="s">
        <v>134</v>
      </c>
      <c r="F56" s="9" t="s">
        <v>351</v>
      </c>
    </row>
    <row r="57" customFormat="false" ht="15" hidden="false" customHeight="false" outlineLevel="0" collapsed="false">
      <c r="A57" s="8" t="s">
        <v>352</v>
      </c>
      <c r="B57" s="8" t="s">
        <v>336</v>
      </c>
      <c r="C57" s="8" t="s">
        <v>353</v>
      </c>
      <c r="D57" s="8" t="s">
        <v>354</v>
      </c>
      <c r="E57" s="8" t="s">
        <v>134</v>
      </c>
      <c r="F57" s="8" t="s">
        <v>355</v>
      </c>
    </row>
    <row r="58" customFormat="false" ht="23.85" hidden="false" customHeight="false" outlineLevel="0" collapsed="false">
      <c r="A58" s="9" t="s">
        <v>356</v>
      </c>
      <c r="B58" s="9" t="s">
        <v>357</v>
      </c>
      <c r="C58" s="9" t="s">
        <v>358</v>
      </c>
      <c r="D58" s="9" t="s">
        <v>359</v>
      </c>
      <c r="E58" s="9" t="s">
        <v>134</v>
      </c>
      <c r="F58" s="9" t="s">
        <v>360</v>
      </c>
    </row>
    <row r="59" customFormat="false" ht="23.85" hidden="false" customHeight="false" outlineLevel="0" collapsed="false">
      <c r="A59" s="8" t="s">
        <v>361</v>
      </c>
      <c r="B59" s="8" t="s">
        <v>357</v>
      </c>
      <c r="C59" s="8" t="s">
        <v>362</v>
      </c>
      <c r="D59" s="8" t="s">
        <v>363</v>
      </c>
      <c r="E59" s="8" t="s">
        <v>134</v>
      </c>
      <c r="F59" s="8" t="s">
        <v>364</v>
      </c>
    </row>
    <row r="60" customFormat="false" ht="15" hidden="false" customHeight="false" outlineLevel="0" collapsed="false">
      <c r="A60" s="9" t="s">
        <v>365</v>
      </c>
      <c r="B60" s="9" t="s">
        <v>357</v>
      </c>
      <c r="C60" s="9" t="s">
        <v>366</v>
      </c>
      <c r="D60" s="9" t="s">
        <v>367</v>
      </c>
      <c r="E60" s="9" t="s">
        <v>134</v>
      </c>
      <c r="F60" s="9"/>
    </row>
    <row r="61" customFormat="false" ht="23.85" hidden="false" customHeight="false" outlineLevel="0" collapsed="false">
      <c r="A61" s="8" t="s">
        <v>368</v>
      </c>
      <c r="B61" s="8" t="s">
        <v>357</v>
      </c>
      <c r="C61" s="8" t="s">
        <v>369</v>
      </c>
      <c r="D61" s="8" t="s">
        <v>370</v>
      </c>
      <c r="E61" s="8" t="s">
        <v>134</v>
      </c>
      <c r="F61" s="8"/>
    </row>
    <row r="62" customFormat="false" ht="23.85" hidden="false" customHeight="false" outlineLevel="0" collapsed="false">
      <c r="A62" s="9" t="s">
        <v>371</v>
      </c>
      <c r="B62" s="9" t="s">
        <v>357</v>
      </c>
      <c r="C62" s="9" t="s">
        <v>372</v>
      </c>
      <c r="D62" s="9" t="s">
        <v>373</v>
      </c>
      <c r="E62" s="9" t="s">
        <v>134</v>
      </c>
      <c r="F62" s="9" t="s">
        <v>374</v>
      </c>
    </row>
    <row r="63" customFormat="false" ht="23.85" hidden="false" customHeight="false" outlineLevel="0" collapsed="false">
      <c r="A63" s="8" t="s">
        <v>375</v>
      </c>
      <c r="B63" s="8" t="s">
        <v>357</v>
      </c>
      <c r="C63" s="8" t="s">
        <v>376</v>
      </c>
      <c r="D63" s="8" t="s">
        <v>377</v>
      </c>
      <c r="E63" s="8" t="s">
        <v>134</v>
      </c>
      <c r="F63" s="8"/>
    </row>
    <row r="64" customFormat="false" ht="23.85" hidden="false" customHeight="false" outlineLevel="0" collapsed="false">
      <c r="A64" s="9" t="s">
        <v>378</v>
      </c>
      <c r="B64" s="9" t="s">
        <v>357</v>
      </c>
      <c r="C64" s="9" t="s">
        <v>379</v>
      </c>
      <c r="D64" s="9" t="s">
        <v>380</v>
      </c>
      <c r="E64" s="9" t="s">
        <v>134</v>
      </c>
      <c r="F64" s="9"/>
    </row>
    <row r="65" customFormat="false" ht="23.85" hidden="false" customHeight="false" outlineLevel="0" collapsed="false">
      <c r="A65" s="8" t="s">
        <v>381</v>
      </c>
      <c r="B65" s="8" t="s">
        <v>382</v>
      </c>
      <c r="C65" s="8" t="s">
        <v>383</v>
      </c>
      <c r="D65" s="8" t="s">
        <v>384</v>
      </c>
      <c r="E65" s="8" t="s">
        <v>134</v>
      </c>
      <c r="F65" s="8" t="s">
        <v>385</v>
      </c>
    </row>
    <row r="66" customFormat="false" ht="15" hidden="false" customHeight="false" outlineLevel="0" collapsed="false">
      <c r="A66" s="9" t="s">
        <v>386</v>
      </c>
      <c r="B66" s="9" t="s">
        <v>382</v>
      </c>
      <c r="C66" s="9" t="s">
        <v>387</v>
      </c>
      <c r="D66" s="9" t="s">
        <v>388</v>
      </c>
      <c r="E66" s="9" t="s">
        <v>134</v>
      </c>
      <c r="F66" s="9"/>
    </row>
    <row r="67" customFormat="false" ht="23.85" hidden="false" customHeight="false" outlineLevel="0" collapsed="false">
      <c r="A67" s="8" t="s">
        <v>389</v>
      </c>
      <c r="B67" s="8" t="s">
        <v>382</v>
      </c>
      <c r="C67" s="8" t="s">
        <v>390</v>
      </c>
      <c r="D67" s="8" t="s">
        <v>391</v>
      </c>
      <c r="E67" s="8" t="s">
        <v>134</v>
      </c>
      <c r="F67" s="8"/>
    </row>
    <row r="68" customFormat="false" ht="15" hidden="false" customHeight="false" outlineLevel="0" collapsed="false">
      <c r="A68" s="9" t="s">
        <v>392</v>
      </c>
      <c r="B68" s="9" t="s">
        <v>382</v>
      </c>
      <c r="C68" s="9" t="s">
        <v>393</v>
      </c>
      <c r="D68" s="9" t="s">
        <v>394</v>
      </c>
      <c r="E68" s="9" t="s">
        <v>134</v>
      </c>
      <c r="F68" s="9" t="s">
        <v>395</v>
      </c>
    </row>
    <row r="69" customFormat="false" ht="15" hidden="false" customHeight="false" outlineLevel="0" collapsed="false">
      <c r="A69" s="8" t="s">
        <v>396</v>
      </c>
      <c r="B69" s="8" t="s">
        <v>382</v>
      </c>
      <c r="C69" s="8" t="s">
        <v>397</v>
      </c>
      <c r="D69" s="8" t="s">
        <v>398</v>
      </c>
      <c r="E69" s="8" t="s">
        <v>134</v>
      </c>
      <c r="F69" s="8" t="s">
        <v>399</v>
      </c>
    </row>
    <row r="70" customFormat="false" ht="15" hidden="false" customHeight="false" outlineLevel="0" collapsed="false">
      <c r="A70" s="9" t="s">
        <v>400</v>
      </c>
      <c r="B70" s="9" t="s">
        <v>382</v>
      </c>
      <c r="C70" s="9" t="s">
        <v>401</v>
      </c>
      <c r="D70" s="9" t="s">
        <v>402</v>
      </c>
      <c r="E70" s="9" t="s">
        <v>134</v>
      </c>
      <c r="F70" s="9"/>
    </row>
    <row r="71" customFormat="false" ht="23.85" hidden="false" customHeight="false" outlineLevel="0" collapsed="false">
      <c r="A71" s="8" t="s">
        <v>403</v>
      </c>
      <c r="B71" s="8" t="s">
        <v>404</v>
      </c>
      <c r="C71" s="8" t="s">
        <v>405</v>
      </c>
      <c r="D71" s="8" t="s">
        <v>406</v>
      </c>
      <c r="E71" s="8" t="s">
        <v>134</v>
      </c>
      <c r="F71" s="8" t="s">
        <v>407</v>
      </c>
    </row>
    <row r="72" customFormat="false" ht="23.85" hidden="false" customHeight="false" outlineLevel="0" collapsed="false">
      <c r="A72" s="9" t="s">
        <v>408</v>
      </c>
      <c r="B72" s="9" t="s">
        <v>404</v>
      </c>
      <c r="C72" s="9" t="s">
        <v>409</v>
      </c>
      <c r="D72" s="9" t="s">
        <v>410</v>
      </c>
      <c r="E72" s="9" t="s">
        <v>134</v>
      </c>
      <c r="F72" s="9" t="s">
        <v>411</v>
      </c>
    </row>
    <row r="73" customFormat="false" ht="23.85" hidden="false" customHeight="false" outlineLevel="0" collapsed="false">
      <c r="A73" s="8" t="s">
        <v>412</v>
      </c>
      <c r="B73" s="8" t="s">
        <v>404</v>
      </c>
      <c r="C73" s="8" t="s">
        <v>413</v>
      </c>
      <c r="D73" s="8" t="s">
        <v>414</v>
      </c>
      <c r="E73" s="8" t="s">
        <v>134</v>
      </c>
      <c r="F73" s="8"/>
    </row>
    <row r="74" customFormat="false" ht="15" hidden="false" customHeight="false" outlineLevel="0" collapsed="false">
      <c r="A74" s="9" t="s">
        <v>415</v>
      </c>
      <c r="B74" s="9" t="s">
        <v>416</v>
      </c>
      <c r="C74" s="9" t="s">
        <v>417</v>
      </c>
      <c r="D74" s="9" t="s">
        <v>418</v>
      </c>
      <c r="E74" s="9" t="s">
        <v>134</v>
      </c>
      <c r="F74" s="9" t="s">
        <v>419</v>
      </c>
    </row>
    <row r="75" customFormat="false" ht="15" hidden="false" customHeight="false" outlineLevel="0" collapsed="false">
      <c r="A75" s="8" t="s">
        <v>420</v>
      </c>
      <c r="B75" s="8" t="s">
        <v>416</v>
      </c>
      <c r="C75" s="8" t="s">
        <v>421</v>
      </c>
      <c r="D75" s="8" t="s">
        <v>422</v>
      </c>
      <c r="E75" s="8" t="s">
        <v>134</v>
      </c>
      <c r="F75" s="8"/>
    </row>
    <row r="76" customFormat="false" ht="15" hidden="false" customHeight="false" outlineLevel="0" collapsed="false">
      <c r="A76" s="9" t="s">
        <v>423</v>
      </c>
      <c r="B76" s="9" t="s">
        <v>416</v>
      </c>
      <c r="C76" s="9" t="s">
        <v>424</v>
      </c>
      <c r="D76" s="9" t="s">
        <v>425</v>
      </c>
      <c r="E76" s="9" t="s">
        <v>134</v>
      </c>
      <c r="F76" s="9"/>
    </row>
    <row r="77" customFormat="false" ht="23.85" hidden="false" customHeight="false" outlineLevel="0" collapsed="false">
      <c r="A77" s="8" t="s">
        <v>426</v>
      </c>
      <c r="B77" s="8" t="s">
        <v>427</v>
      </c>
      <c r="C77" s="8" t="s">
        <v>428</v>
      </c>
      <c r="D77" s="8" t="s">
        <v>429</v>
      </c>
      <c r="E77" s="8" t="s">
        <v>134</v>
      </c>
      <c r="F77" s="8" t="s">
        <v>430</v>
      </c>
    </row>
    <row r="78" customFormat="false" ht="15" hidden="false" customHeight="false" outlineLevel="0" collapsed="false">
      <c r="A78" s="9" t="s">
        <v>431</v>
      </c>
      <c r="B78" s="9" t="s">
        <v>427</v>
      </c>
      <c r="C78" s="9" t="s">
        <v>432</v>
      </c>
      <c r="D78" s="9" t="s">
        <v>433</v>
      </c>
      <c r="E78" s="9" t="s">
        <v>134</v>
      </c>
      <c r="F78" s="9"/>
    </row>
    <row r="79" customFormat="false" ht="15" hidden="false" customHeight="false" outlineLevel="0" collapsed="false">
      <c r="A79" s="8" t="s">
        <v>434</v>
      </c>
      <c r="B79" s="8" t="s">
        <v>427</v>
      </c>
      <c r="C79" s="8" t="s">
        <v>435</v>
      </c>
      <c r="D79" s="8" t="s">
        <v>436</v>
      </c>
      <c r="E79" s="8" t="s">
        <v>134</v>
      </c>
      <c r="F79" s="8" t="s">
        <v>437</v>
      </c>
    </row>
    <row r="80" customFormat="false" ht="23.85" hidden="false" customHeight="false" outlineLevel="0" collapsed="false">
      <c r="A80" s="9" t="s">
        <v>438</v>
      </c>
      <c r="B80" s="9" t="s">
        <v>427</v>
      </c>
      <c r="C80" s="9" t="s">
        <v>439</v>
      </c>
      <c r="D80" s="9" t="s">
        <v>440</v>
      </c>
      <c r="E80" s="9" t="s">
        <v>134</v>
      </c>
      <c r="F80" s="9" t="s">
        <v>441</v>
      </c>
    </row>
    <row r="81" customFormat="false" ht="15" hidden="false" customHeight="false" outlineLevel="0" collapsed="false">
      <c r="A81" s="8" t="s">
        <v>442</v>
      </c>
      <c r="B81" s="8" t="s">
        <v>427</v>
      </c>
      <c r="C81" s="8" t="s">
        <v>443</v>
      </c>
      <c r="D81" s="8" t="s">
        <v>444</v>
      </c>
      <c r="E81" s="8" t="s">
        <v>134</v>
      </c>
      <c r="F81" s="8" t="s">
        <v>445</v>
      </c>
    </row>
    <row r="82" customFormat="false" ht="15" hidden="false" customHeight="false" outlineLevel="0" collapsed="false">
      <c r="A82" s="9" t="s">
        <v>446</v>
      </c>
      <c r="B82" s="9" t="s">
        <v>427</v>
      </c>
      <c r="C82" s="9" t="s">
        <v>447</v>
      </c>
      <c r="D82" s="9" t="s">
        <v>448</v>
      </c>
      <c r="E82" s="9" t="s">
        <v>134</v>
      </c>
      <c r="F82" s="9"/>
    </row>
    <row r="83" customFormat="false" ht="23.85" hidden="false" customHeight="false" outlineLevel="0" collapsed="false">
      <c r="A83" s="8" t="s">
        <v>449</v>
      </c>
      <c r="B83" s="8" t="s">
        <v>450</v>
      </c>
      <c r="C83" s="8" t="s">
        <v>451</v>
      </c>
      <c r="D83" s="8" t="s">
        <v>452</v>
      </c>
      <c r="E83" s="8" t="s">
        <v>144</v>
      </c>
      <c r="F83" s="8" t="s">
        <v>453</v>
      </c>
    </row>
    <row r="84" customFormat="false" ht="23.85" hidden="false" customHeight="false" outlineLevel="0" collapsed="false">
      <c r="A84" s="9" t="s">
        <v>454</v>
      </c>
      <c r="B84" s="9" t="s">
        <v>450</v>
      </c>
      <c r="C84" s="9" t="s">
        <v>455</v>
      </c>
      <c r="D84" s="9" t="s">
        <v>456</v>
      </c>
      <c r="E84" s="9" t="s">
        <v>144</v>
      </c>
      <c r="F84" s="9" t="s">
        <v>457</v>
      </c>
    </row>
    <row r="85" customFormat="false" ht="23.85" hidden="false" customHeight="false" outlineLevel="0" collapsed="false">
      <c r="A85" s="8" t="s">
        <v>458</v>
      </c>
      <c r="B85" s="8" t="s">
        <v>450</v>
      </c>
      <c r="C85" s="8" t="s">
        <v>459</v>
      </c>
      <c r="D85" s="8" t="s">
        <v>460</v>
      </c>
      <c r="E85" s="8" t="s">
        <v>144</v>
      </c>
      <c r="F85" s="8" t="s">
        <v>461</v>
      </c>
    </row>
    <row r="86" customFormat="false" ht="15" hidden="false" customHeight="false" outlineLevel="0" collapsed="false">
      <c r="A86" s="9" t="s">
        <v>462</v>
      </c>
      <c r="B86" s="9" t="s">
        <v>450</v>
      </c>
      <c r="C86" s="9" t="s">
        <v>463</v>
      </c>
      <c r="D86" s="9" t="s">
        <v>464</v>
      </c>
      <c r="E86" s="9" t="s">
        <v>134</v>
      </c>
      <c r="F86" s="9" t="s">
        <v>465</v>
      </c>
    </row>
    <row r="87" customFormat="false" ht="15" hidden="false" customHeight="false" outlineLevel="0" collapsed="false">
      <c r="A87" s="8" t="s">
        <v>466</v>
      </c>
      <c r="B87" s="8" t="s">
        <v>450</v>
      </c>
      <c r="C87" s="8" t="s">
        <v>467</v>
      </c>
      <c r="D87" s="8" t="s">
        <v>468</v>
      </c>
      <c r="E87" s="8" t="s">
        <v>134</v>
      </c>
      <c r="F87" s="8" t="s">
        <v>469</v>
      </c>
    </row>
    <row r="88" customFormat="false" ht="15" hidden="false" customHeight="false" outlineLevel="0" collapsed="false">
      <c r="A88" s="9" t="s">
        <v>470</v>
      </c>
      <c r="B88" s="9" t="s">
        <v>450</v>
      </c>
      <c r="C88" s="9" t="s">
        <v>471</v>
      </c>
      <c r="D88" s="9" t="s">
        <v>472</v>
      </c>
      <c r="E88" s="9" t="s">
        <v>134</v>
      </c>
      <c r="F88" s="9"/>
    </row>
    <row r="89" customFormat="false" ht="35.05" hidden="false" customHeight="false" outlineLevel="0" collapsed="false">
      <c r="A89" s="8" t="s">
        <v>473</v>
      </c>
      <c r="B89" s="8" t="s">
        <v>404</v>
      </c>
      <c r="C89" s="8" t="s">
        <v>474</v>
      </c>
      <c r="D89" s="8" t="s">
        <v>475</v>
      </c>
      <c r="E89" s="8" t="s">
        <v>144</v>
      </c>
      <c r="F89" s="8" t="s">
        <v>476</v>
      </c>
    </row>
    <row r="90" customFormat="false" ht="23.85" hidden="false" customHeight="false" outlineLevel="0" collapsed="false">
      <c r="A90" s="9" t="s">
        <v>477</v>
      </c>
      <c r="B90" s="9" t="s">
        <v>404</v>
      </c>
      <c r="C90" s="9" t="s">
        <v>478</v>
      </c>
      <c r="D90" s="9" t="s">
        <v>479</v>
      </c>
      <c r="E90" s="9" t="s">
        <v>144</v>
      </c>
      <c r="F90" s="9" t="s">
        <v>480</v>
      </c>
    </row>
    <row r="91" customFormat="false" ht="23.85" hidden="false" customHeight="false" outlineLevel="0" collapsed="false">
      <c r="A91" s="8" t="s">
        <v>481</v>
      </c>
      <c r="B91" s="8" t="s">
        <v>404</v>
      </c>
      <c r="C91" s="8" t="s">
        <v>482</v>
      </c>
      <c r="D91" s="8" t="s">
        <v>483</v>
      </c>
      <c r="E91" s="8" t="s">
        <v>144</v>
      </c>
      <c r="F91" s="8" t="s">
        <v>484</v>
      </c>
    </row>
    <row r="92" customFormat="false" ht="23.85" hidden="false" customHeight="false" outlineLevel="0" collapsed="false">
      <c r="A92" s="9" t="s">
        <v>485</v>
      </c>
      <c r="B92" s="9" t="s">
        <v>486</v>
      </c>
      <c r="C92" s="9" t="s">
        <v>487</v>
      </c>
      <c r="D92" s="9" t="s">
        <v>488</v>
      </c>
      <c r="E92" s="9" t="s">
        <v>134</v>
      </c>
      <c r="F92" s="9" t="s">
        <v>489</v>
      </c>
    </row>
    <row r="93" customFormat="false" ht="23.85" hidden="false" customHeight="false" outlineLevel="0" collapsed="false">
      <c r="A93" s="8" t="s">
        <v>490</v>
      </c>
      <c r="B93" s="8" t="s">
        <v>486</v>
      </c>
      <c r="C93" s="8" t="s">
        <v>491</v>
      </c>
      <c r="D93" s="8" t="s">
        <v>492</v>
      </c>
      <c r="E93" s="8" t="s">
        <v>134</v>
      </c>
      <c r="F93" s="8" t="s">
        <v>493</v>
      </c>
    </row>
    <row r="94" customFormat="false" ht="23.85" hidden="false" customHeight="false" outlineLevel="0" collapsed="false">
      <c r="A94" s="9" t="s">
        <v>494</v>
      </c>
      <c r="B94" s="9" t="s">
        <v>486</v>
      </c>
      <c r="C94" s="9" t="s">
        <v>495</v>
      </c>
      <c r="D94" s="9" t="s">
        <v>496</v>
      </c>
      <c r="E94" s="9" t="s">
        <v>134</v>
      </c>
      <c r="F94" s="9" t="s">
        <v>497</v>
      </c>
    </row>
    <row r="95" customFormat="false" ht="23.85" hidden="false" customHeight="false" outlineLevel="0" collapsed="false">
      <c r="A95" s="8" t="s">
        <v>498</v>
      </c>
      <c r="B95" s="8" t="s">
        <v>499</v>
      </c>
      <c r="C95" s="8" t="s">
        <v>500</v>
      </c>
      <c r="D95" s="8" t="s">
        <v>501</v>
      </c>
      <c r="E95" s="8" t="s">
        <v>134</v>
      </c>
      <c r="F95" s="8"/>
    </row>
    <row r="96" customFormat="false" ht="23.85" hidden="false" customHeight="false" outlineLevel="0" collapsed="false">
      <c r="A96" s="9" t="s">
        <v>502</v>
      </c>
      <c r="B96" s="9" t="s">
        <v>499</v>
      </c>
      <c r="C96" s="9" t="s">
        <v>503</v>
      </c>
      <c r="D96" s="9" t="s">
        <v>504</v>
      </c>
      <c r="E96" s="9" t="s">
        <v>144</v>
      </c>
      <c r="F96" s="9" t="s">
        <v>505</v>
      </c>
    </row>
    <row r="97" customFormat="false" ht="15" hidden="false" customHeight="false" outlineLevel="0" collapsed="false">
      <c r="A97" s="8" t="s">
        <v>506</v>
      </c>
      <c r="B97" s="8" t="s">
        <v>499</v>
      </c>
      <c r="C97" s="8" t="s">
        <v>507</v>
      </c>
      <c r="D97" s="8" t="s">
        <v>508</v>
      </c>
      <c r="E97" s="8" t="s">
        <v>144</v>
      </c>
      <c r="F97" s="8" t="s">
        <v>509</v>
      </c>
    </row>
    <row r="98" customFormat="false" ht="23.85" hidden="false" customHeight="false" outlineLevel="0" collapsed="false">
      <c r="A98" s="9" t="s">
        <v>510</v>
      </c>
      <c r="B98" s="9" t="s">
        <v>499</v>
      </c>
      <c r="C98" s="9" t="s">
        <v>511</v>
      </c>
      <c r="D98" s="9" t="s">
        <v>512</v>
      </c>
      <c r="E98" s="9" t="s">
        <v>144</v>
      </c>
      <c r="F98" s="9" t="s">
        <v>513</v>
      </c>
    </row>
    <row r="99" customFormat="false" ht="23.85" hidden="false" customHeight="false" outlineLevel="0" collapsed="false">
      <c r="A99" s="8" t="s">
        <v>514</v>
      </c>
      <c r="B99" s="8" t="s">
        <v>499</v>
      </c>
      <c r="C99" s="8" t="s">
        <v>515</v>
      </c>
      <c r="D99" s="8" t="s">
        <v>516</v>
      </c>
      <c r="E99" s="8" t="s">
        <v>144</v>
      </c>
      <c r="F99" s="8" t="s">
        <v>517</v>
      </c>
    </row>
    <row r="100" customFormat="false" ht="15" hidden="false" customHeight="false" outlineLevel="0" collapsed="false">
      <c r="A100" s="9" t="s">
        <v>518</v>
      </c>
      <c r="B100" s="9" t="s">
        <v>288</v>
      </c>
      <c r="C100" s="9" t="s">
        <v>519</v>
      </c>
      <c r="D100" s="9" t="s">
        <v>520</v>
      </c>
      <c r="E100" s="9" t="s">
        <v>144</v>
      </c>
      <c r="F100" s="9" t="s">
        <v>521</v>
      </c>
    </row>
    <row r="101" customFormat="false" ht="35.05" hidden="false" customHeight="false" outlineLevel="0" collapsed="false">
      <c r="A101" s="8" t="s">
        <v>522</v>
      </c>
      <c r="B101" s="8" t="s">
        <v>288</v>
      </c>
      <c r="C101" s="8" t="s">
        <v>523</v>
      </c>
      <c r="D101" s="8" t="s">
        <v>524</v>
      </c>
      <c r="E101" s="8" t="s">
        <v>144</v>
      </c>
      <c r="F101" s="8" t="s">
        <v>525</v>
      </c>
    </row>
    <row r="102" customFormat="false" ht="23.85" hidden="false" customHeight="false" outlineLevel="0" collapsed="false">
      <c r="A102" s="9" t="s">
        <v>526</v>
      </c>
      <c r="B102" s="9" t="s">
        <v>288</v>
      </c>
      <c r="C102" s="9" t="s">
        <v>527</v>
      </c>
      <c r="D102" s="9" t="s">
        <v>528</v>
      </c>
      <c r="E102" s="9" t="s">
        <v>144</v>
      </c>
      <c r="F102" s="9" t="s">
        <v>529</v>
      </c>
    </row>
    <row r="103" customFormat="false" ht="23.85" hidden="false" customHeight="false" outlineLevel="0" collapsed="false">
      <c r="A103" s="8" t="s">
        <v>530</v>
      </c>
      <c r="B103" s="8" t="s">
        <v>499</v>
      </c>
      <c r="C103" s="8" t="s">
        <v>531</v>
      </c>
      <c r="D103" s="8" t="s">
        <v>532</v>
      </c>
      <c r="E103" s="8" t="s">
        <v>134</v>
      </c>
      <c r="F103" s="8"/>
    </row>
    <row r="104" customFormat="false" ht="23.85" hidden="false" customHeight="false" outlineLevel="0" collapsed="false">
      <c r="A104" s="9" t="s">
        <v>533</v>
      </c>
      <c r="B104" s="9" t="s">
        <v>534</v>
      </c>
      <c r="C104" s="9" t="s">
        <v>535</v>
      </c>
      <c r="D104" s="9" t="s">
        <v>536</v>
      </c>
      <c r="E104" s="9" t="s">
        <v>134</v>
      </c>
      <c r="F104" s="9" t="s">
        <v>537</v>
      </c>
    </row>
    <row r="105" customFormat="false" ht="15" hidden="false" customHeight="false" outlineLevel="0" collapsed="false">
      <c r="A105" s="8" t="s">
        <v>538</v>
      </c>
      <c r="B105" s="8" t="s">
        <v>534</v>
      </c>
      <c r="C105" s="8" t="s">
        <v>539</v>
      </c>
      <c r="D105" s="8" t="s">
        <v>540</v>
      </c>
      <c r="E105" s="8" t="s">
        <v>134</v>
      </c>
      <c r="F105" s="8" t="s">
        <v>541</v>
      </c>
    </row>
    <row r="106" customFormat="false" ht="15" hidden="false" customHeight="false" outlineLevel="0" collapsed="false">
      <c r="A106" s="9" t="s">
        <v>542</v>
      </c>
      <c r="B106" s="9" t="s">
        <v>534</v>
      </c>
      <c r="C106" s="9" t="s">
        <v>543</v>
      </c>
      <c r="D106" s="9" t="s">
        <v>544</v>
      </c>
      <c r="E106" s="9" t="s">
        <v>134</v>
      </c>
      <c r="F106" s="9"/>
    </row>
    <row r="107" customFormat="false" ht="15" hidden="false" customHeight="false" outlineLevel="0" collapsed="false">
      <c r="A107" s="8" t="s">
        <v>545</v>
      </c>
      <c r="B107" s="8" t="s">
        <v>546</v>
      </c>
      <c r="C107" s="8" t="s">
        <v>547</v>
      </c>
      <c r="D107" s="8" t="s">
        <v>548</v>
      </c>
      <c r="E107" s="8" t="s">
        <v>134</v>
      </c>
      <c r="F107" s="8"/>
    </row>
    <row r="108" customFormat="false" ht="23.85" hidden="false" customHeight="false" outlineLevel="0" collapsed="false">
      <c r="A108" s="9" t="s">
        <v>549</v>
      </c>
      <c r="B108" s="9" t="s">
        <v>546</v>
      </c>
      <c r="C108" s="9" t="s">
        <v>550</v>
      </c>
      <c r="D108" s="9" t="s">
        <v>551</v>
      </c>
      <c r="E108" s="9" t="s">
        <v>134</v>
      </c>
      <c r="F108" s="9" t="s">
        <v>552</v>
      </c>
    </row>
    <row r="109" customFormat="false" ht="15" hidden="false" customHeight="false" outlineLevel="0" collapsed="false">
      <c r="A109" s="8" t="s">
        <v>553</v>
      </c>
      <c r="B109" s="8" t="s">
        <v>546</v>
      </c>
      <c r="C109" s="8" t="s">
        <v>554</v>
      </c>
      <c r="D109" s="8" t="s">
        <v>555</v>
      </c>
      <c r="E109" s="8" t="s">
        <v>134</v>
      </c>
      <c r="F109" s="8" t="s">
        <v>556</v>
      </c>
    </row>
    <row r="110" customFormat="false" ht="23.85" hidden="false" customHeight="false" outlineLevel="0" collapsed="false">
      <c r="A110" s="9" t="s">
        <v>557</v>
      </c>
      <c r="B110" s="9" t="s">
        <v>499</v>
      </c>
      <c r="C110" s="9" t="s">
        <v>558</v>
      </c>
      <c r="D110" s="9" t="s">
        <v>0</v>
      </c>
      <c r="E110" s="9" t="s">
        <v>144</v>
      </c>
      <c r="F110" s="9" t="s">
        <v>559</v>
      </c>
    </row>
    <row r="111" customFormat="false" ht="23.85" hidden="false" customHeight="false" outlineLevel="0" collapsed="false">
      <c r="A111" s="8" t="s">
        <v>560</v>
      </c>
      <c r="B111" s="8" t="s">
        <v>499</v>
      </c>
      <c r="C111" s="8" t="s">
        <v>561</v>
      </c>
      <c r="D111" s="8" t="s">
        <v>562</v>
      </c>
      <c r="E111" s="8" t="s">
        <v>144</v>
      </c>
      <c r="F111" s="8" t="s">
        <v>563</v>
      </c>
    </row>
    <row r="112" customFormat="false" ht="23.85" hidden="false" customHeight="false" outlineLevel="0" collapsed="false">
      <c r="A112" s="9" t="s">
        <v>564</v>
      </c>
      <c r="B112" s="9" t="s">
        <v>565</v>
      </c>
      <c r="C112" s="9" t="s">
        <v>566</v>
      </c>
      <c r="D112" s="9" t="s">
        <v>567</v>
      </c>
      <c r="E112" s="9" t="s">
        <v>144</v>
      </c>
      <c r="F112" s="9" t="s">
        <v>568</v>
      </c>
    </row>
    <row r="113" customFormat="false" ht="15" hidden="false" customHeight="false" outlineLevel="0" collapsed="false">
      <c r="A113" s="8" t="s">
        <v>569</v>
      </c>
      <c r="B113" s="8" t="s">
        <v>565</v>
      </c>
      <c r="C113" s="8" t="s">
        <v>570</v>
      </c>
      <c r="D113" s="8" t="s">
        <v>571</v>
      </c>
      <c r="E113" s="8" t="s">
        <v>144</v>
      </c>
      <c r="F113" s="8" t="s">
        <v>572</v>
      </c>
    </row>
    <row r="114" customFormat="false" ht="23.85" hidden="false" customHeight="false" outlineLevel="0" collapsed="false">
      <c r="A114" s="9" t="s">
        <v>573</v>
      </c>
      <c r="B114" s="9" t="s">
        <v>565</v>
      </c>
      <c r="C114" s="9" t="s">
        <v>574</v>
      </c>
      <c r="D114" s="9" t="s">
        <v>575</v>
      </c>
      <c r="E114" s="9" t="s">
        <v>134</v>
      </c>
      <c r="F114" s="9" t="s">
        <v>576</v>
      </c>
    </row>
    <row r="115" customFormat="false" ht="23.85" hidden="false" customHeight="false" outlineLevel="0" collapsed="false">
      <c r="A115" s="8" t="s">
        <v>577</v>
      </c>
      <c r="B115" s="8" t="s">
        <v>565</v>
      </c>
      <c r="C115" s="8" t="s">
        <v>578</v>
      </c>
      <c r="D115" s="8" t="s">
        <v>579</v>
      </c>
      <c r="E115" s="8" t="s">
        <v>144</v>
      </c>
      <c r="F115" s="8" t="s">
        <v>580</v>
      </c>
    </row>
    <row r="116" customFormat="false" ht="23.85" hidden="false" customHeight="false" outlineLevel="0" collapsed="false">
      <c r="A116" s="9" t="s">
        <v>581</v>
      </c>
      <c r="B116" s="9" t="s">
        <v>565</v>
      </c>
      <c r="C116" s="9" t="s">
        <v>582</v>
      </c>
      <c r="D116" s="9" t="s">
        <v>583</v>
      </c>
      <c r="E116" s="9" t="s">
        <v>144</v>
      </c>
      <c r="F116" s="9" t="s">
        <v>584</v>
      </c>
    </row>
    <row r="117" customFormat="false" ht="15" hidden="false" customHeight="false" outlineLevel="0" collapsed="false">
      <c r="A117" s="8" t="s">
        <v>585</v>
      </c>
      <c r="B117" s="8" t="s">
        <v>565</v>
      </c>
      <c r="C117" s="8" t="s">
        <v>586</v>
      </c>
      <c r="D117" s="8" t="s">
        <v>587</v>
      </c>
      <c r="E117" s="8" t="s">
        <v>134</v>
      </c>
      <c r="F117" s="8" t="s">
        <v>588</v>
      </c>
    </row>
    <row r="118" customFormat="false" ht="23.85" hidden="false" customHeight="false" outlineLevel="0" collapsed="false">
      <c r="A118" s="9" t="s">
        <v>589</v>
      </c>
      <c r="B118" s="9" t="s">
        <v>499</v>
      </c>
      <c r="C118" s="9" t="s">
        <v>590</v>
      </c>
      <c r="D118" s="9" t="s">
        <v>591</v>
      </c>
      <c r="E118" s="9" t="s">
        <v>144</v>
      </c>
      <c r="F118" s="9" t="s">
        <v>592</v>
      </c>
    </row>
    <row r="119" customFormat="false" ht="23.85" hidden="false" customHeight="false" outlineLevel="0" collapsed="false">
      <c r="A119" s="8" t="s">
        <v>593</v>
      </c>
      <c r="B119" s="8" t="s">
        <v>565</v>
      </c>
      <c r="C119" s="8" t="s">
        <v>594</v>
      </c>
      <c r="D119" s="8" t="s">
        <v>595</v>
      </c>
      <c r="E119" s="8" t="s">
        <v>144</v>
      </c>
      <c r="F119" s="8" t="s">
        <v>596</v>
      </c>
    </row>
  </sheetData>
  <autoFilter ref="A4:F1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2"/>
    <col collapsed="false" customWidth="true" hidden="false" outlineLevel="0" max="4" min="4" style="0" width="45"/>
    <col collapsed="false" customWidth="true" hidden="false" outlineLevel="0" max="6" min="5" style="0" width="40"/>
    <col collapsed="false" customWidth="true" hidden="false" outlineLevel="0" max="7" min="7" style="0" width="12"/>
  </cols>
  <sheetData>
    <row r="1" customFormat="false" ht="19.7" hidden="false" customHeight="false" outlineLevel="0" collapsed="false">
      <c r="A1" s="1" t="s">
        <v>597</v>
      </c>
    </row>
    <row r="3" customFormat="false" ht="15" hidden="false" customHeight="false" outlineLevel="0" collapsed="false">
      <c r="A3" s="7" t="s">
        <v>124</v>
      </c>
      <c r="B3" s="7" t="s">
        <v>598</v>
      </c>
      <c r="C3" s="7" t="s">
        <v>599</v>
      </c>
      <c r="D3" s="7" t="s">
        <v>600</v>
      </c>
      <c r="E3" s="7" t="s">
        <v>601</v>
      </c>
      <c r="F3" s="7" t="s">
        <v>602</v>
      </c>
      <c r="G3" s="7" t="s">
        <v>603</v>
      </c>
    </row>
    <row r="4" customFormat="false" ht="23.85" hidden="false" customHeight="false" outlineLevel="0" collapsed="false">
      <c r="A4" s="8" t="s">
        <v>604</v>
      </c>
      <c r="B4" s="8" t="s">
        <v>605</v>
      </c>
      <c r="C4" s="8" t="s">
        <v>606</v>
      </c>
      <c r="D4" s="8" t="s">
        <v>607</v>
      </c>
      <c r="E4" s="8" t="s">
        <v>608</v>
      </c>
      <c r="F4" s="8" t="s">
        <v>609</v>
      </c>
      <c r="G4" s="8" t="s">
        <v>610</v>
      </c>
    </row>
    <row r="5" customFormat="false" ht="23.85" hidden="false" customHeight="false" outlineLevel="0" collapsed="false">
      <c r="A5" s="9" t="s">
        <v>611</v>
      </c>
      <c r="B5" s="9" t="s">
        <v>605</v>
      </c>
      <c r="C5" s="9" t="s">
        <v>612</v>
      </c>
      <c r="D5" s="9" t="s">
        <v>613</v>
      </c>
      <c r="E5" s="9" t="s">
        <v>614</v>
      </c>
      <c r="F5" s="9" t="s">
        <v>615</v>
      </c>
      <c r="G5" s="9" t="s">
        <v>616</v>
      </c>
    </row>
    <row r="6" customFormat="false" ht="23.85" hidden="false" customHeight="false" outlineLevel="0" collapsed="false">
      <c r="A6" s="8" t="s">
        <v>617</v>
      </c>
      <c r="B6" s="8" t="s">
        <v>618</v>
      </c>
      <c r="C6" s="8" t="s">
        <v>619</v>
      </c>
      <c r="D6" s="8" t="s">
        <v>620</v>
      </c>
      <c r="E6" s="8" t="s">
        <v>621</v>
      </c>
      <c r="F6" s="8" t="s">
        <v>622</v>
      </c>
      <c r="G6" s="8" t="s">
        <v>618</v>
      </c>
    </row>
    <row r="7" customFormat="false" ht="23.85" hidden="false" customHeight="false" outlineLevel="0" collapsed="false">
      <c r="A7" s="9" t="s">
        <v>623</v>
      </c>
      <c r="B7" s="9" t="s">
        <v>624</v>
      </c>
      <c r="C7" s="9" t="s">
        <v>625</v>
      </c>
      <c r="D7" s="9" t="s">
        <v>626</v>
      </c>
      <c r="E7" s="9" t="s">
        <v>627</v>
      </c>
      <c r="F7" s="9" t="s">
        <v>628</v>
      </c>
      <c r="G7" s="9" t="s">
        <v>629</v>
      </c>
    </row>
    <row r="8" customFormat="false" ht="23.85" hidden="false" customHeight="false" outlineLevel="0" collapsed="false">
      <c r="A8" s="8" t="s">
        <v>630</v>
      </c>
      <c r="B8" s="8" t="s">
        <v>624</v>
      </c>
      <c r="C8" s="8" t="s">
        <v>631</v>
      </c>
      <c r="D8" s="8" t="s">
        <v>632</v>
      </c>
      <c r="E8" s="8" t="s">
        <v>633</v>
      </c>
      <c r="F8" s="8" t="s">
        <v>634</v>
      </c>
      <c r="G8" s="8" t="s">
        <v>610</v>
      </c>
    </row>
  </sheetData>
  <autoFilter ref="A3:G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50"/>
    <col collapsed="false" customWidth="true" hidden="false" outlineLevel="0" max="4" min="4" style="0" width="45"/>
  </cols>
  <sheetData>
    <row r="1" customFormat="false" ht="19.7" hidden="false" customHeight="false" outlineLevel="0" collapsed="false">
      <c r="A1" s="1" t="s">
        <v>635</v>
      </c>
    </row>
    <row r="2" customFormat="false" ht="15" hidden="false" customHeight="false" outlineLevel="0" collapsed="false">
      <c r="A2" s="2" t="s">
        <v>636</v>
      </c>
    </row>
    <row r="3" customFormat="false" ht="15" hidden="false" customHeight="false" outlineLevel="0" collapsed="false">
      <c r="A3" s="7" t="s">
        <v>637</v>
      </c>
      <c r="B3" s="7" t="s">
        <v>638</v>
      </c>
      <c r="C3" s="7" t="s">
        <v>639</v>
      </c>
      <c r="D3" s="7" t="s">
        <v>640</v>
      </c>
    </row>
    <row r="4" customFormat="false" ht="23.85" hidden="false" customHeight="false" outlineLevel="0" collapsed="false">
      <c r="A4" s="8" t="s">
        <v>641</v>
      </c>
      <c r="B4" s="8" t="s">
        <v>642</v>
      </c>
      <c r="C4" s="8" t="s">
        <v>643</v>
      </c>
      <c r="D4" s="8" t="s">
        <v>644</v>
      </c>
    </row>
    <row r="5" customFormat="false" ht="23.85" hidden="false" customHeight="false" outlineLevel="0" collapsed="false">
      <c r="A5" s="9" t="s">
        <v>645</v>
      </c>
      <c r="B5" s="9" t="s">
        <v>646</v>
      </c>
      <c r="C5" s="9" t="s">
        <v>647</v>
      </c>
      <c r="D5" s="9" t="s">
        <v>648</v>
      </c>
    </row>
    <row r="6" customFormat="false" ht="23.85" hidden="false" customHeight="false" outlineLevel="0" collapsed="false">
      <c r="A6" s="8" t="s">
        <v>649</v>
      </c>
      <c r="B6" s="8" t="s">
        <v>650</v>
      </c>
      <c r="C6" s="8" t="s">
        <v>651</v>
      </c>
      <c r="D6" s="8" t="s">
        <v>652</v>
      </c>
    </row>
    <row r="7" customFormat="false" ht="15" hidden="false" customHeight="false" outlineLevel="0" collapsed="false">
      <c r="A7" s="9" t="s">
        <v>653</v>
      </c>
      <c r="B7" s="9" t="s">
        <v>654</v>
      </c>
      <c r="C7" s="9" t="s">
        <v>655</v>
      </c>
      <c r="D7" s="9" t="s">
        <v>656</v>
      </c>
    </row>
    <row r="8" customFormat="false" ht="15" hidden="false" customHeight="false" outlineLevel="0" collapsed="false">
      <c r="A8" s="8" t="s">
        <v>657</v>
      </c>
      <c r="B8" s="8" t="s">
        <v>658</v>
      </c>
      <c r="C8" s="8" t="s">
        <v>659</v>
      </c>
      <c r="D8" s="8" t="s">
        <v>660</v>
      </c>
    </row>
    <row r="10" customFormat="false" ht="46.25" hidden="false" customHeight="false" outlineLevel="0" collapsed="false">
      <c r="A10" s="3" t="s">
        <v>661</v>
      </c>
      <c r="B10" s="4" t="s">
        <v>662</v>
      </c>
    </row>
  </sheetData>
  <autoFilter ref="A3:D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55"/>
    <col collapsed="false" customWidth="true" hidden="false" outlineLevel="0" max="4" min="4" style="0" width="35"/>
  </cols>
  <sheetData>
    <row r="1" customFormat="false" ht="19.7" hidden="false" customHeight="false" outlineLevel="0" collapsed="false">
      <c r="A1" s="1" t="s">
        <v>663</v>
      </c>
    </row>
    <row r="2" customFormat="false" ht="15" hidden="false" customHeight="false" outlineLevel="0" collapsed="false">
      <c r="A2" s="2" t="s">
        <v>664</v>
      </c>
    </row>
    <row r="3" customFormat="false" ht="15" hidden="false" customHeight="false" outlineLevel="0" collapsed="false">
      <c r="A3" s="7" t="s">
        <v>125</v>
      </c>
      <c r="B3" s="7" t="s">
        <v>665</v>
      </c>
      <c r="C3" s="7" t="s">
        <v>666</v>
      </c>
      <c r="D3" s="7" t="s">
        <v>667</v>
      </c>
    </row>
    <row r="4" customFormat="false" ht="15" hidden="false" customHeight="false" outlineLevel="0" collapsed="false">
      <c r="A4" s="8" t="s">
        <v>668</v>
      </c>
      <c r="B4" s="8" t="s">
        <v>669</v>
      </c>
      <c r="C4" s="8" t="s">
        <v>670</v>
      </c>
      <c r="D4" s="8" t="s">
        <v>671</v>
      </c>
    </row>
    <row r="5" customFormat="false" ht="15" hidden="false" customHeight="false" outlineLevel="0" collapsed="false">
      <c r="A5" s="9" t="s">
        <v>672</v>
      </c>
      <c r="B5" s="9" t="s">
        <v>673</v>
      </c>
      <c r="C5" s="9" t="s">
        <v>674</v>
      </c>
      <c r="D5" s="9"/>
    </row>
    <row r="6" customFormat="false" ht="23.85" hidden="false" customHeight="false" outlineLevel="0" collapsed="false">
      <c r="A6" s="8" t="s">
        <v>173</v>
      </c>
      <c r="B6" s="8" t="s">
        <v>675</v>
      </c>
      <c r="C6" s="8" t="s">
        <v>676</v>
      </c>
      <c r="D6" s="8"/>
    </row>
    <row r="7" customFormat="false" ht="23.85" hidden="false" customHeight="false" outlineLevel="0" collapsed="false">
      <c r="A7" s="9" t="s">
        <v>677</v>
      </c>
      <c r="B7" s="9" t="s">
        <v>678</v>
      </c>
      <c r="C7" s="9" t="s">
        <v>679</v>
      </c>
      <c r="D7" s="9" t="s">
        <v>680</v>
      </c>
    </row>
    <row r="8" customFormat="false" ht="23.85" hidden="false" customHeight="false" outlineLevel="0" collapsed="false">
      <c r="A8" s="8" t="s">
        <v>681</v>
      </c>
      <c r="B8" s="8" t="s">
        <v>682</v>
      </c>
      <c r="C8" s="8" t="s">
        <v>683</v>
      </c>
      <c r="D8" s="8" t="s">
        <v>684</v>
      </c>
    </row>
    <row r="9" customFormat="false" ht="35.05" hidden="false" customHeight="false" outlineLevel="0" collapsed="false">
      <c r="A9" s="9" t="s">
        <v>212</v>
      </c>
      <c r="B9" s="9" t="s">
        <v>685</v>
      </c>
      <c r="C9" s="9" t="s">
        <v>686</v>
      </c>
      <c r="D9" s="9"/>
    </row>
    <row r="10" customFormat="false" ht="23.85" hidden="false" customHeight="false" outlineLevel="0" collapsed="false">
      <c r="A10" s="8" t="s">
        <v>250</v>
      </c>
      <c r="B10" s="8" t="s">
        <v>687</v>
      </c>
      <c r="C10" s="8" t="s">
        <v>688</v>
      </c>
      <c r="D10" s="8" t="s">
        <v>689</v>
      </c>
    </row>
    <row r="11" customFormat="false" ht="15" hidden="false" customHeight="false" outlineLevel="0" collapsed="false">
      <c r="A11" s="9" t="s">
        <v>690</v>
      </c>
      <c r="B11" s="9" t="s">
        <v>691</v>
      </c>
      <c r="C11" s="9" t="s">
        <v>692</v>
      </c>
      <c r="D11" s="9" t="s">
        <v>693</v>
      </c>
    </row>
    <row r="12" customFormat="false" ht="23.85" hidden="false" customHeight="false" outlineLevel="0" collapsed="false">
      <c r="A12" s="8" t="s">
        <v>694</v>
      </c>
      <c r="B12" s="8" t="s">
        <v>695</v>
      </c>
      <c r="C12" s="8" t="s">
        <v>696</v>
      </c>
      <c r="D12" s="8" t="s">
        <v>697</v>
      </c>
    </row>
    <row r="13" customFormat="false" ht="15" hidden="false" customHeight="false" outlineLevel="0" collapsed="false">
      <c r="A13" s="9" t="s">
        <v>698</v>
      </c>
      <c r="B13" s="9" t="s">
        <v>699</v>
      </c>
      <c r="C13" s="9" t="s">
        <v>700</v>
      </c>
      <c r="D13" s="9" t="s">
        <v>701</v>
      </c>
    </row>
  </sheetData>
  <autoFilter ref="A3: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55"/>
    <col collapsed="false" customWidth="true" hidden="false" outlineLevel="0" max="4" min="4" style="0" width="60"/>
    <col collapsed="false" customWidth="true" hidden="false" outlineLevel="0" max="5" min="5" style="0" width="24"/>
  </cols>
  <sheetData>
    <row r="1" customFormat="false" ht="19.7" hidden="false" customHeight="false" outlineLevel="0" collapsed="false">
      <c r="A1" s="1" t="s">
        <v>702</v>
      </c>
    </row>
    <row r="2" customFormat="false" ht="15" hidden="false" customHeight="false" outlineLevel="0" collapsed="false">
      <c r="A2" s="2" t="s">
        <v>703</v>
      </c>
    </row>
    <row r="3" customFormat="false" ht="15" hidden="false" customHeight="false" outlineLevel="0" collapsed="false">
      <c r="A3" s="7" t="s">
        <v>704</v>
      </c>
      <c r="B3" s="7" t="s">
        <v>705</v>
      </c>
      <c r="C3" s="7" t="s">
        <v>706</v>
      </c>
      <c r="D3" s="7" t="s">
        <v>707</v>
      </c>
      <c r="E3" s="7" t="s">
        <v>708</v>
      </c>
    </row>
    <row r="4" customFormat="false" ht="23.85" hidden="false" customHeight="false" outlineLevel="0" collapsed="false">
      <c r="A4" s="8" t="n">
        <v>1</v>
      </c>
      <c r="B4" s="8" t="s">
        <v>709</v>
      </c>
      <c r="C4" s="8" t="s">
        <v>710</v>
      </c>
      <c r="D4" s="8" t="s">
        <v>711</v>
      </c>
      <c r="E4" s="8" t="s">
        <v>712</v>
      </c>
    </row>
    <row r="5" customFormat="false" ht="23.85" hidden="false" customHeight="false" outlineLevel="0" collapsed="false">
      <c r="A5" s="9" t="n">
        <v>2</v>
      </c>
      <c r="B5" s="9" t="s">
        <v>713</v>
      </c>
      <c r="C5" s="9" t="s">
        <v>714</v>
      </c>
      <c r="D5" s="9" t="s">
        <v>715</v>
      </c>
      <c r="E5" s="9" t="s">
        <v>716</v>
      </c>
    </row>
    <row r="6" customFormat="false" ht="23.85" hidden="false" customHeight="false" outlineLevel="0" collapsed="false">
      <c r="A6" s="8" t="n">
        <v>3</v>
      </c>
      <c r="B6" s="8" t="s">
        <v>199</v>
      </c>
      <c r="C6" s="8" t="s">
        <v>717</v>
      </c>
      <c r="D6" s="8" t="s">
        <v>718</v>
      </c>
      <c r="E6" s="8" t="s">
        <v>719</v>
      </c>
    </row>
    <row r="7" customFormat="false" ht="23.85" hidden="false" customHeight="false" outlineLevel="0" collapsed="false">
      <c r="A7" s="9" t="n">
        <v>4</v>
      </c>
      <c r="B7" s="9" t="s">
        <v>720</v>
      </c>
      <c r="C7" s="9" t="s">
        <v>721</v>
      </c>
      <c r="D7" s="9" t="s">
        <v>722</v>
      </c>
      <c r="E7" s="9" t="s">
        <v>719</v>
      </c>
    </row>
    <row r="8" customFormat="false" ht="23.85" hidden="false" customHeight="false" outlineLevel="0" collapsed="false">
      <c r="A8" s="8" t="n">
        <v>5</v>
      </c>
      <c r="B8" s="8" t="s">
        <v>723</v>
      </c>
      <c r="C8" s="8" t="s">
        <v>724</v>
      </c>
      <c r="D8" s="8" t="s">
        <v>725</v>
      </c>
      <c r="E8" s="8" t="s">
        <v>726</v>
      </c>
    </row>
    <row r="9" customFormat="false" ht="15" hidden="false" customHeight="false" outlineLevel="0" collapsed="false">
      <c r="A9" s="9" t="n">
        <v>6</v>
      </c>
      <c r="B9" s="9" t="s">
        <v>727</v>
      </c>
      <c r="C9" s="9" t="s">
        <v>728</v>
      </c>
      <c r="D9" s="9" t="s">
        <v>729</v>
      </c>
      <c r="E9" s="9" t="s">
        <v>726</v>
      </c>
    </row>
    <row r="10" customFormat="false" ht="23.85" hidden="false" customHeight="false" outlineLevel="0" collapsed="false">
      <c r="A10" s="8" t="n">
        <v>7</v>
      </c>
      <c r="B10" s="8" t="s">
        <v>730</v>
      </c>
      <c r="C10" s="8" t="s">
        <v>731</v>
      </c>
      <c r="D10" s="8" t="s">
        <v>732</v>
      </c>
      <c r="E10" s="8" t="s">
        <v>733</v>
      </c>
    </row>
    <row r="11" customFormat="false" ht="23.85" hidden="false" customHeight="false" outlineLevel="0" collapsed="false">
      <c r="A11" s="9" t="n">
        <v>8</v>
      </c>
      <c r="B11" s="9" t="s">
        <v>734</v>
      </c>
      <c r="C11" s="9" t="s">
        <v>735</v>
      </c>
      <c r="D11" s="9" t="s">
        <v>736</v>
      </c>
      <c r="E11" s="9" t="s">
        <v>737</v>
      </c>
    </row>
    <row r="12" customFormat="false" ht="15" hidden="false" customHeight="false" outlineLevel="0" collapsed="false">
      <c r="A12" s="8" t="n">
        <v>9</v>
      </c>
      <c r="B12" s="8" t="s">
        <v>738</v>
      </c>
      <c r="C12" s="8" t="s">
        <v>739</v>
      </c>
      <c r="D12" s="8" t="s">
        <v>740</v>
      </c>
      <c r="E12" s="8" t="s">
        <v>741</v>
      </c>
    </row>
    <row r="13" customFormat="false" ht="15" hidden="false" customHeight="false" outlineLevel="0" collapsed="false">
      <c r="A13" s="9" t="n">
        <v>10</v>
      </c>
      <c r="B13" s="9" t="s">
        <v>742</v>
      </c>
      <c r="C13" s="9" t="s">
        <v>743</v>
      </c>
      <c r="D13" s="9" t="s">
        <v>744</v>
      </c>
      <c r="E13" s="9" t="s">
        <v>745</v>
      </c>
    </row>
    <row r="14" customFormat="false" ht="23.85" hidden="false" customHeight="false" outlineLevel="0" collapsed="false">
      <c r="A14" s="8" t="n">
        <v>11</v>
      </c>
      <c r="B14" s="8" t="s">
        <v>746</v>
      </c>
      <c r="C14" s="8" t="s">
        <v>747</v>
      </c>
      <c r="D14" s="8" t="s">
        <v>748</v>
      </c>
      <c r="E14" s="8" t="s">
        <v>749</v>
      </c>
    </row>
  </sheetData>
  <autoFilter ref="A3:E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26"/>
    <col collapsed="false" customWidth="true" hidden="false" outlineLevel="0" max="4" min="4" style="0" width="55"/>
    <col collapsed="false" customWidth="true" hidden="false" outlineLevel="0" max="5" min="5" style="0" width="9"/>
    <col collapsed="false" customWidth="true" hidden="false" outlineLevel="0" max="6" min="6" style="0" width="7"/>
    <col collapsed="false" customWidth="true" hidden="false" outlineLevel="0" max="7" min="7" style="0" width="20"/>
    <col collapsed="false" customWidth="true" hidden="false" outlineLevel="0" max="8" min="8" style="0" width="50"/>
  </cols>
  <sheetData>
    <row r="1" customFormat="false" ht="19.7" hidden="false" customHeight="false" outlineLevel="0" collapsed="false">
      <c r="A1" s="1" t="s">
        <v>750</v>
      </c>
    </row>
    <row r="2" customFormat="false" ht="15" hidden="false" customHeight="false" outlineLevel="0" collapsed="false">
      <c r="A2" s="2" t="s">
        <v>751</v>
      </c>
    </row>
    <row r="3" customFormat="false" ht="15" hidden="false" customHeight="false" outlineLevel="0" collapsed="false">
      <c r="A3" s="7" t="s">
        <v>124</v>
      </c>
      <c r="B3" s="7" t="s">
        <v>752</v>
      </c>
      <c r="C3" s="7" t="s">
        <v>753</v>
      </c>
      <c r="D3" s="7" t="s">
        <v>600</v>
      </c>
      <c r="E3" s="7" t="s">
        <v>598</v>
      </c>
      <c r="F3" s="7" t="s">
        <v>754</v>
      </c>
      <c r="G3" s="7" t="s">
        <v>755</v>
      </c>
      <c r="H3" s="7" t="s">
        <v>756</v>
      </c>
    </row>
    <row r="4" customFormat="false" ht="15" hidden="false" customHeight="false" outlineLevel="0" collapsed="false">
      <c r="A4" s="8" t="s">
        <v>757</v>
      </c>
      <c r="B4" s="8" t="s">
        <v>690</v>
      </c>
      <c r="C4" s="8" t="s">
        <v>758</v>
      </c>
      <c r="D4" s="8" t="s">
        <v>759</v>
      </c>
      <c r="E4" s="8" t="s">
        <v>760</v>
      </c>
      <c r="F4" s="8" t="n">
        <v>1</v>
      </c>
      <c r="G4" s="8"/>
      <c r="H4" s="8" t="s">
        <v>761</v>
      </c>
    </row>
    <row r="5" customFormat="false" ht="23.85" hidden="false" customHeight="false" outlineLevel="0" collapsed="false">
      <c r="A5" s="9" t="s">
        <v>762</v>
      </c>
      <c r="B5" s="9" t="s">
        <v>690</v>
      </c>
      <c r="C5" s="9" t="s">
        <v>763</v>
      </c>
      <c r="D5" s="9" t="s">
        <v>764</v>
      </c>
      <c r="E5" s="9" t="s">
        <v>760</v>
      </c>
      <c r="F5" s="9" t="n">
        <v>1</v>
      </c>
      <c r="G5" s="9" t="s">
        <v>758</v>
      </c>
      <c r="H5" s="9" t="s">
        <v>765</v>
      </c>
    </row>
    <row r="6" customFormat="false" ht="15" hidden="false" customHeight="false" outlineLevel="0" collapsed="false">
      <c r="A6" s="8" t="s">
        <v>766</v>
      </c>
      <c r="B6" s="8" t="s">
        <v>690</v>
      </c>
      <c r="C6" s="8" t="s">
        <v>767</v>
      </c>
      <c r="D6" s="8" t="s">
        <v>768</v>
      </c>
      <c r="E6" s="8" t="s">
        <v>769</v>
      </c>
      <c r="F6" s="8" t="n">
        <v>1</v>
      </c>
      <c r="G6" s="8" t="s">
        <v>763</v>
      </c>
      <c r="H6" s="8" t="s">
        <v>770</v>
      </c>
    </row>
    <row r="7" customFormat="false" ht="23.85" hidden="false" customHeight="false" outlineLevel="0" collapsed="false">
      <c r="A7" s="9" t="s">
        <v>771</v>
      </c>
      <c r="B7" s="9" t="s">
        <v>690</v>
      </c>
      <c r="C7" s="9" t="s">
        <v>772</v>
      </c>
      <c r="D7" s="9" t="s">
        <v>773</v>
      </c>
      <c r="E7" s="9" t="s">
        <v>760</v>
      </c>
      <c r="F7" s="9" t="n">
        <v>1</v>
      </c>
      <c r="G7" s="9" t="s">
        <v>763</v>
      </c>
      <c r="H7" s="9" t="s">
        <v>774</v>
      </c>
    </row>
    <row r="8" customFormat="false" ht="23.85" hidden="false" customHeight="false" outlineLevel="0" collapsed="false">
      <c r="A8" s="8" t="s">
        <v>775</v>
      </c>
      <c r="B8" s="8" t="s">
        <v>147</v>
      </c>
      <c r="C8" s="8" t="s">
        <v>776</v>
      </c>
      <c r="D8" s="8" t="s">
        <v>777</v>
      </c>
      <c r="E8" s="8" t="s">
        <v>760</v>
      </c>
      <c r="F8" s="8" t="n">
        <v>1</v>
      </c>
      <c r="G8" s="8"/>
      <c r="H8" s="8" t="s">
        <v>778</v>
      </c>
    </row>
    <row r="9" customFormat="false" ht="23.85" hidden="false" customHeight="false" outlineLevel="0" collapsed="false">
      <c r="A9" s="9" t="s">
        <v>779</v>
      </c>
      <c r="B9" s="9" t="s">
        <v>147</v>
      </c>
      <c r="C9" s="9" t="s">
        <v>780</v>
      </c>
      <c r="D9" s="9" t="s">
        <v>781</v>
      </c>
      <c r="E9" s="9" t="s">
        <v>760</v>
      </c>
      <c r="F9" s="9" t="n">
        <v>1</v>
      </c>
      <c r="G9" s="9"/>
      <c r="H9" s="9" t="s">
        <v>782</v>
      </c>
    </row>
    <row r="10" customFormat="false" ht="23.85" hidden="false" customHeight="false" outlineLevel="0" collapsed="false">
      <c r="A10" s="8" t="s">
        <v>783</v>
      </c>
      <c r="B10" s="8" t="s">
        <v>147</v>
      </c>
      <c r="C10" s="8" t="s">
        <v>784</v>
      </c>
      <c r="D10" s="8" t="s">
        <v>785</v>
      </c>
      <c r="E10" s="8" t="s">
        <v>760</v>
      </c>
      <c r="F10" s="8" t="n">
        <v>1</v>
      </c>
      <c r="G10" s="8" t="s">
        <v>786</v>
      </c>
      <c r="H10" s="8" t="s">
        <v>787</v>
      </c>
    </row>
    <row r="11" customFormat="false" ht="15" hidden="false" customHeight="false" outlineLevel="0" collapsed="false">
      <c r="A11" s="9" t="s">
        <v>788</v>
      </c>
      <c r="B11" s="9" t="s">
        <v>147</v>
      </c>
      <c r="C11" s="9" t="s">
        <v>789</v>
      </c>
      <c r="D11" s="9" t="s">
        <v>790</v>
      </c>
      <c r="E11" s="9" t="s">
        <v>760</v>
      </c>
      <c r="F11" s="9" t="n">
        <v>1</v>
      </c>
      <c r="G11" s="9" t="s">
        <v>786</v>
      </c>
      <c r="H11" s="9" t="s">
        <v>791</v>
      </c>
    </row>
    <row r="12" customFormat="false" ht="15" hidden="false" customHeight="false" outlineLevel="0" collapsed="false">
      <c r="A12" s="8" t="s">
        <v>792</v>
      </c>
      <c r="B12" s="8" t="s">
        <v>147</v>
      </c>
      <c r="C12" s="8" t="s">
        <v>793</v>
      </c>
      <c r="D12" s="8" t="s">
        <v>794</v>
      </c>
      <c r="E12" s="8" t="s">
        <v>760</v>
      </c>
      <c r="F12" s="8" t="n">
        <v>1</v>
      </c>
      <c r="G12" s="8" t="s">
        <v>786</v>
      </c>
      <c r="H12" s="8" t="s">
        <v>791</v>
      </c>
    </row>
    <row r="13" customFormat="false" ht="23.85" hidden="false" customHeight="false" outlineLevel="0" collapsed="false">
      <c r="A13" s="9" t="s">
        <v>795</v>
      </c>
      <c r="B13" s="9" t="s">
        <v>147</v>
      </c>
      <c r="C13" s="9" t="s">
        <v>796</v>
      </c>
      <c r="D13" s="9" t="s">
        <v>797</v>
      </c>
      <c r="E13" s="9" t="s">
        <v>760</v>
      </c>
      <c r="F13" s="9" t="n">
        <v>1</v>
      </c>
      <c r="G13" s="9" t="s">
        <v>798</v>
      </c>
      <c r="H13" s="9" t="s">
        <v>799</v>
      </c>
    </row>
    <row r="14" customFormat="false" ht="15" hidden="false" customHeight="false" outlineLevel="0" collapsed="false">
      <c r="A14" s="8" t="s">
        <v>800</v>
      </c>
      <c r="B14" s="8" t="s">
        <v>186</v>
      </c>
      <c r="C14" s="8" t="s">
        <v>268</v>
      </c>
      <c r="D14" s="8" t="s">
        <v>801</v>
      </c>
      <c r="E14" s="8" t="s">
        <v>760</v>
      </c>
      <c r="F14" s="8" t="n">
        <v>1</v>
      </c>
      <c r="G14" s="8"/>
      <c r="H14" s="8" t="s">
        <v>802</v>
      </c>
    </row>
    <row r="15" customFormat="false" ht="15" hidden="false" customHeight="false" outlineLevel="0" collapsed="false">
      <c r="A15" s="9" t="s">
        <v>803</v>
      </c>
      <c r="B15" s="9" t="s">
        <v>186</v>
      </c>
      <c r="C15" s="9" t="s">
        <v>804</v>
      </c>
      <c r="D15" s="9" t="s">
        <v>805</v>
      </c>
      <c r="E15" s="9" t="s">
        <v>760</v>
      </c>
      <c r="F15" s="9" t="n">
        <v>1</v>
      </c>
      <c r="G15" s="9" t="s">
        <v>268</v>
      </c>
      <c r="H15" s="9" t="s">
        <v>806</v>
      </c>
    </row>
    <row r="16" customFormat="false" ht="15" hidden="false" customHeight="false" outlineLevel="0" collapsed="false">
      <c r="A16" s="8" t="s">
        <v>807</v>
      </c>
      <c r="B16" s="8" t="s">
        <v>199</v>
      </c>
      <c r="C16" s="8" t="s">
        <v>808</v>
      </c>
      <c r="D16" s="8" t="s">
        <v>809</v>
      </c>
      <c r="E16" s="8" t="s">
        <v>760</v>
      </c>
      <c r="F16" s="8" t="n">
        <v>1</v>
      </c>
      <c r="G16" s="8" t="s">
        <v>268</v>
      </c>
      <c r="H16" s="8" t="s">
        <v>810</v>
      </c>
    </row>
    <row r="17" customFormat="false" ht="15" hidden="false" customHeight="false" outlineLevel="0" collapsed="false">
      <c r="A17" s="9" t="s">
        <v>811</v>
      </c>
      <c r="B17" s="9" t="s">
        <v>199</v>
      </c>
      <c r="C17" s="9" t="s">
        <v>812</v>
      </c>
      <c r="D17" s="9" t="s">
        <v>813</v>
      </c>
      <c r="E17" s="9" t="s">
        <v>760</v>
      </c>
      <c r="F17" s="9" t="n">
        <v>1</v>
      </c>
      <c r="G17" s="9" t="s">
        <v>808</v>
      </c>
      <c r="H17" s="9" t="s">
        <v>814</v>
      </c>
    </row>
    <row r="18" customFormat="false" ht="15" hidden="false" customHeight="false" outlineLevel="0" collapsed="false">
      <c r="A18" s="8" t="s">
        <v>815</v>
      </c>
      <c r="B18" s="8" t="s">
        <v>199</v>
      </c>
      <c r="C18" s="8" t="s">
        <v>816</v>
      </c>
      <c r="D18" s="8" t="s">
        <v>817</v>
      </c>
      <c r="E18" s="8" t="s">
        <v>760</v>
      </c>
      <c r="F18" s="8" t="n">
        <v>1</v>
      </c>
      <c r="G18" s="8" t="s">
        <v>812</v>
      </c>
      <c r="H18" s="8" t="s">
        <v>818</v>
      </c>
    </row>
    <row r="19" customFormat="false" ht="15" hidden="false" customHeight="false" outlineLevel="0" collapsed="false">
      <c r="A19" s="9" t="s">
        <v>819</v>
      </c>
      <c r="B19" s="9" t="s">
        <v>199</v>
      </c>
      <c r="C19" s="9" t="s">
        <v>820</v>
      </c>
      <c r="D19" s="9" t="s">
        <v>821</v>
      </c>
      <c r="E19" s="9" t="s">
        <v>760</v>
      </c>
      <c r="F19" s="9" t="n">
        <v>1</v>
      </c>
      <c r="G19" s="9" t="s">
        <v>719</v>
      </c>
      <c r="H19" s="9" t="s">
        <v>822</v>
      </c>
    </row>
    <row r="20" customFormat="false" ht="15" hidden="false" customHeight="false" outlineLevel="0" collapsed="false">
      <c r="A20" s="8" t="s">
        <v>823</v>
      </c>
      <c r="B20" s="8" t="s">
        <v>199</v>
      </c>
      <c r="C20" s="8" t="s">
        <v>824</v>
      </c>
      <c r="D20" s="8" t="s">
        <v>825</v>
      </c>
      <c r="E20" s="8" t="s">
        <v>760</v>
      </c>
      <c r="F20" s="8" t="n">
        <v>1</v>
      </c>
      <c r="G20" s="8" t="s">
        <v>826</v>
      </c>
      <c r="H20" s="8" t="s">
        <v>827</v>
      </c>
    </row>
    <row r="21" customFormat="false" ht="15" hidden="false" customHeight="false" outlineLevel="0" collapsed="false">
      <c r="A21" s="9" t="s">
        <v>828</v>
      </c>
      <c r="B21" s="9" t="s">
        <v>723</v>
      </c>
      <c r="C21" s="9" t="s">
        <v>829</v>
      </c>
      <c r="D21" s="9" t="s">
        <v>830</v>
      </c>
      <c r="E21" s="9" t="s">
        <v>760</v>
      </c>
      <c r="F21" s="9" t="n">
        <v>1</v>
      </c>
      <c r="G21" s="9" t="s">
        <v>268</v>
      </c>
      <c r="H21" s="9" t="s">
        <v>831</v>
      </c>
    </row>
    <row r="22" customFormat="false" ht="15" hidden="false" customHeight="false" outlineLevel="0" collapsed="false">
      <c r="A22" s="8" t="s">
        <v>832</v>
      </c>
      <c r="B22" s="8" t="s">
        <v>723</v>
      </c>
      <c r="C22" s="8" t="s">
        <v>833</v>
      </c>
      <c r="D22" s="8" t="s">
        <v>834</v>
      </c>
      <c r="E22" s="8" t="s">
        <v>760</v>
      </c>
      <c r="F22" s="8" t="n">
        <v>1</v>
      </c>
      <c r="G22" s="8" t="s">
        <v>829</v>
      </c>
      <c r="H22" s="8" t="s">
        <v>835</v>
      </c>
    </row>
    <row r="23" customFormat="false" ht="23.85" hidden="false" customHeight="false" outlineLevel="0" collapsed="false">
      <c r="A23" s="9" t="s">
        <v>836</v>
      </c>
      <c r="B23" s="9" t="s">
        <v>723</v>
      </c>
      <c r="C23" s="9" t="s">
        <v>837</v>
      </c>
      <c r="D23" s="9" t="s">
        <v>838</v>
      </c>
      <c r="E23" s="9" t="s">
        <v>760</v>
      </c>
      <c r="F23" s="9" t="n">
        <v>1</v>
      </c>
      <c r="G23" s="9" t="s">
        <v>839</v>
      </c>
      <c r="H23" s="9" t="s">
        <v>840</v>
      </c>
    </row>
    <row r="24" customFormat="false" ht="23.85" hidden="false" customHeight="false" outlineLevel="0" collapsed="false">
      <c r="A24" s="8" t="s">
        <v>841</v>
      </c>
      <c r="B24" s="8" t="s">
        <v>723</v>
      </c>
      <c r="C24" s="8" t="s">
        <v>842</v>
      </c>
      <c r="D24" s="8" t="s">
        <v>843</v>
      </c>
      <c r="E24" s="8" t="s">
        <v>760</v>
      </c>
      <c r="F24" s="8" t="n">
        <v>1</v>
      </c>
      <c r="G24" s="8" t="s">
        <v>837</v>
      </c>
      <c r="H24" s="8" t="s">
        <v>844</v>
      </c>
    </row>
    <row r="25" customFormat="false" ht="15" hidden="false" customHeight="false" outlineLevel="0" collapsed="false">
      <c r="A25" s="9" t="s">
        <v>845</v>
      </c>
      <c r="B25" s="9" t="s">
        <v>723</v>
      </c>
      <c r="C25" s="9" t="s">
        <v>846</v>
      </c>
      <c r="D25" s="9" t="s">
        <v>847</v>
      </c>
      <c r="E25" s="9" t="s">
        <v>769</v>
      </c>
      <c r="F25" s="9" t="n">
        <v>1</v>
      </c>
      <c r="G25" s="9" t="s">
        <v>837</v>
      </c>
      <c r="H25" s="9" t="s">
        <v>848</v>
      </c>
    </row>
    <row r="26" customFormat="false" ht="15" hidden="false" customHeight="false" outlineLevel="0" collapsed="false">
      <c r="A26" s="8" t="s">
        <v>849</v>
      </c>
      <c r="B26" s="8" t="s">
        <v>723</v>
      </c>
      <c r="C26" s="8" t="s">
        <v>850</v>
      </c>
      <c r="D26" s="8" t="s">
        <v>851</v>
      </c>
      <c r="E26" s="8" t="s">
        <v>760</v>
      </c>
      <c r="F26" s="8" t="n">
        <v>1</v>
      </c>
      <c r="G26" s="8" t="s">
        <v>842</v>
      </c>
      <c r="H26" s="8" t="s">
        <v>852</v>
      </c>
    </row>
    <row r="27" customFormat="false" ht="15" hidden="false" customHeight="false" outlineLevel="0" collapsed="false">
      <c r="A27" s="9" t="s">
        <v>853</v>
      </c>
      <c r="B27" s="9" t="s">
        <v>681</v>
      </c>
      <c r="C27" s="9" t="s">
        <v>854</v>
      </c>
      <c r="D27" s="9" t="s">
        <v>855</v>
      </c>
      <c r="E27" s="9" t="s">
        <v>760</v>
      </c>
      <c r="F27" s="9" t="n">
        <v>1</v>
      </c>
      <c r="G27" s="9" t="s">
        <v>842</v>
      </c>
      <c r="H27" s="9" t="s">
        <v>856</v>
      </c>
    </row>
    <row r="28" customFormat="false" ht="15" hidden="false" customHeight="false" outlineLevel="0" collapsed="false">
      <c r="A28" s="8" t="s">
        <v>857</v>
      </c>
      <c r="B28" s="8" t="s">
        <v>681</v>
      </c>
      <c r="C28" s="8" t="s">
        <v>858</v>
      </c>
      <c r="D28" s="8" t="s">
        <v>859</v>
      </c>
      <c r="E28" s="8" t="s">
        <v>760</v>
      </c>
      <c r="F28" s="8" t="n">
        <v>1</v>
      </c>
      <c r="G28" s="8" t="s">
        <v>854</v>
      </c>
      <c r="H28" s="8" t="s">
        <v>860</v>
      </c>
    </row>
    <row r="29" customFormat="false" ht="23.85" hidden="false" customHeight="false" outlineLevel="0" collapsed="false">
      <c r="A29" s="9" t="s">
        <v>861</v>
      </c>
      <c r="B29" s="9" t="s">
        <v>681</v>
      </c>
      <c r="C29" s="9" t="s">
        <v>862</v>
      </c>
      <c r="D29" s="9" t="s">
        <v>863</v>
      </c>
      <c r="E29" s="9" t="s">
        <v>760</v>
      </c>
      <c r="F29" s="9" t="n">
        <v>1</v>
      </c>
      <c r="G29" s="9" t="s">
        <v>854</v>
      </c>
      <c r="H29" s="9" t="s">
        <v>864</v>
      </c>
    </row>
    <row r="30" customFormat="false" ht="15" hidden="false" customHeight="false" outlineLevel="0" collapsed="false">
      <c r="A30" s="8" t="s">
        <v>865</v>
      </c>
      <c r="B30" s="8" t="s">
        <v>212</v>
      </c>
      <c r="C30" s="8" t="s">
        <v>866</v>
      </c>
      <c r="D30" s="8" t="s">
        <v>867</v>
      </c>
      <c r="E30" s="8" t="s">
        <v>760</v>
      </c>
      <c r="F30" s="8" t="n">
        <v>1</v>
      </c>
      <c r="G30" s="8" t="s">
        <v>858</v>
      </c>
      <c r="H30" s="8" t="s">
        <v>868</v>
      </c>
    </row>
    <row r="31" customFormat="false" ht="15" hidden="false" customHeight="false" outlineLevel="0" collapsed="false">
      <c r="A31" s="9" t="s">
        <v>869</v>
      </c>
      <c r="B31" s="9" t="s">
        <v>212</v>
      </c>
      <c r="C31" s="9" t="s">
        <v>213</v>
      </c>
      <c r="D31" s="9" t="s">
        <v>870</v>
      </c>
      <c r="E31" s="9" t="s">
        <v>760</v>
      </c>
      <c r="F31" s="9" t="n">
        <v>1</v>
      </c>
      <c r="G31" s="9" t="s">
        <v>866</v>
      </c>
      <c r="H31" s="9" t="s">
        <v>871</v>
      </c>
    </row>
    <row r="32" customFormat="false" ht="23.85" hidden="false" customHeight="false" outlineLevel="0" collapsed="false">
      <c r="A32" s="8" t="s">
        <v>872</v>
      </c>
      <c r="B32" s="8" t="s">
        <v>212</v>
      </c>
      <c r="C32" s="8" t="s">
        <v>873</v>
      </c>
      <c r="D32" s="8" t="s">
        <v>874</v>
      </c>
      <c r="E32" s="8" t="s">
        <v>760</v>
      </c>
      <c r="F32" s="8" t="n">
        <v>1</v>
      </c>
      <c r="G32" s="8" t="s">
        <v>866</v>
      </c>
      <c r="H32" s="8" t="s">
        <v>875</v>
      </c>
    </row>
    <row r="33" customFormat="false" ht="15" hidden="false" customHeight="false" outlineLevel="0" collapsed="false">
      <c r="A33" s="9" t="s">
        <v>876</v>
      </c>
      <c r="B33" s="9" t="s">
        <v>212</v>
      </c>
      <c r="C33" s="9" t="s">
        <v>877</v>
      </c>
      <c r="D33" s="9" t="s">
        <v>878</v>
      </c>
      <c r="E33" s="9" t="s">
        <v>760</v>
      </c>
      <c r="F33" s="9" t="n">
        <v>1</v>
      </c>
      <c r="G33" s="9" t="s">
        <v>879</v>
      </c>
      <c r="H33" s="9" t="s">
        <v>880</v>
      </c>
    </row>
    <row r="34" customFormat="false" ht="15" hidden="false" customHeight="false" outlineLevel="0" collapsed="false">
      <c r="A34" s="8" t="s">
        <v>881</v>
      </c>
      <c r="B34" s="8" t="s">
        <v>212</v>
      </c>
      <c r="C34" s="8" t="s">
        <v>882</v>
      </c>
      <c r="D34" s="8" t="s">
        <v>883</v>
      </c>
      <c r="E34" s="8" t="s">
        <v>760</v>
      </c>
      <c r="F34" s="8" t="n">
        <v>1</v>
      </c>
      <c r="G34" s="8" t="s">
        <v>877</v>
      </c>
      <c r="H34" s="8" t="s">
        <v>884</v>
      </c>
    </row>
    <row r="35" customFormat="false" ht="15" hidden="false" customHeight="false" outlineLevel="0" collapsed="false">
      <c r="A35" s="9" t="s">
        <v>885</v>
      </c>
      <c r="B35" s="9" t="s">
        <v>212</v>
      </c>
      <c r="C35" s="9" t="s">
        <v>886</v>
      </c>
      <c r="D35" s="9" t="s">
        <v>887</v>
      </c>
      <c r="E35" s="9" t="s">
        <v>760</v>
      </c>
      <c r="F35" s="9" t="n">
        <v>1</v>
      </c>
      <c r="G35" s="9" t="s">
        <v>772</v>
      </c>
      <c r="H35" s="9" t="s">
        <v>888</v>
      </c>
    </row>
    <row r="36" customFormat="false" ht="15" hidden="false" customHeight="false" outlineLevel="0" collapsed="false">
      <c r="A36" s="8" t="s">
        <v>889</v>
      </c>
      <c r="B36" s="8" t="s">
        <v>212</v>
      </c>
      <c r="C36" s="8" t="s">
        <v>879</v>
      </c>
      <c r="D36" s="8" t="s">
        <v>890</v>
      </c>
      <c r="E36" s="8" t="s">
        <v>760</v>
      </c>
      <c r="F36" s="8" t="n">
        <v>1</v>
      </c>
      <c r="G36" s="8" t="s">
        <v>763</v>
      </c>
      <c r="H36" s="8" t="s">
        <v>891</v>
      </c>
    </row>
    <row r="37" customFormat="false" ht="23.85" hidden="false" customHeight="false" outlineLevel="0" collapsed="false">
      <c r="A37" s="9" t="s">
        <v>892</v>
      </c>
      <c r="B37" s="9" t="s">
        <v>212</v>
      </c>
      <c r="C37" s="9" t="s">
        <v>893</v>
      </c>
      <c r="D37" s="9" t="s">
        <v>894</v>
      </c>
      <c r="E37" s="9" t="s">
        <v>769</v>
      </c>
      <c r="F37" s="9" t="n">
        <v>1</v>
      </c>
      <c r="G37" s="9" t="s">
        <v>895</v>
      </c>
      <c r="H37" s="9" t="s">
        <v>896</v>
      </c>
    </row>
    <row r="38" customFormat="false" ht="15" hidden="false" customHeight="false" outlineLevel="0" collapsed="false">
      <c r="A38" s="8" t="s">
        <v>897</v>
      </c>
      <c r="B38" s="8" t="s">
        <v>250</v>
      </c>
      <c r="C38" s="8" t="s">
        <v>898</v>
      </c>
      <c r="D38" s="8" t="s">
        <v>899</v>
      </c>
      <c r="E38" s="8" t="s">
        <v>760</v>
      </c>
      <c r="F38" s="8" t="n">
        <v>1</v>
      </c>
      <c r="G38" s="8"/>
      <c r="H38" s="8" t="s">
        <v>900</v>
      </c>
    </row>
    <row r="39" customFormat="false" ht="15" hidden="false" customHeight="false" outlineLevel="0" collapsed="false">
      <c r="A39" s="9" t="s">
        <v>901</v>
      </c>
      <c r="B39" s="9" t="s">
        <v>250</v>
      </c>
      <c r="C39" s="9" t="s">
        <v>902</v>
      </c>
      <c r="D39" s="9" t="s">
        <v>903</v>
      </c>
      <c r="E39" s="9" t="s">
        <v>769</v>
      </c>
      <c r="F39" s="9" t="n">
        <v>1</v>
      </c>
      <c r="G39" s="9" t="s">
        <v>898</v>
      </c>
      <c r="H39" s="9" t="s">
        <v>904</v>
      </c>
    </row>
    <row r="40" customFormat="false" ht="15" hidden="false" customHeight="false" outlineLevel="0" collapsed="false">
      <c r="A40" s="8" t="s">
        <v>905</v>
      </c>
      <c r="B40" s="8" t="s">
        <v>250</v>
      </c>
      <c r="C40" s="8" t="s">
        <v>906</v>
      </c>
      <c r="D40" s="8" t="s">
        <v>907</v>
      </c>
      <c r="E40" s="8" t="s">
        <v>760</v>
      </c>
      <c r="F40" s="8" t="n">
        <v>1</v>
      </c>
      <c r="G40" s="8"/>
      <c r="H40" s="8" t="s">
        <v>908</v>
      </c>
    </row>
    <row r="41" customFormat="false" ht="23.85" hidden="false" customHeight="false" outlineLevel="0" collapsed="false">
      <c r="A41" s="9" t="s">
        <v>909</v>
      </c>
      <c r="B41" s="9" t="s">
        <v>250</v>
      </c>
      <c r="C41" s="9" t="s">
        <v>910</v>
      </c>
      <c r="D41" s="9" t="s">
        <v>911</v>
      </c>
      <c r="E41" s="9" t="s">
        <v>760</v>
      </c>
      <c r="F41" s="9" t="n">
        <v>1</v>
      </c>
      <c r="G41" s="9" t="s">
        <v>866</v>
      </c>
      <c r="H41" s="9" t="s">
        <v>912</v>
      </c>
    </row>
    <row r="42" customFormat="false" ht="15" hidden="false" customHeight="false" outlineLevel="0" collapsed="false">
      <c r="A42" s="8" t="s">
        <v>913</v>
      </c>
      <c r="B42" s="8" t="s">
        <v>250</v>
      </c>
      <c r="C42" s="8" t="s">
        <v>914</v>
      </c>
      <c r="D42" s="8" t="s">
        <v>915</v>
      </c>
      <c r="E42" s="8" t="s">
        <v>769</v>
      </c>
      <c r="F42" s="8" t="n">
        <v>1</v>
      </c>
      <c r="G42" s="8"/>
      <c r="H42" s="8" t="s">
        <v>916</v>
      </c>
    </row>
    <row r="43" customFormat="false" ht="23.85" hidden="false" customHeight="false" outlineLevel="0" collapsed="false">
      <c r="A43" s="9" t="s">
        <v>917</v>
      </c>
      <c r="B43" s="9" t="s">
        <v>918</v>
      </c>
      <c r="C43" s="9" t="s">
        <v>745</v>
      </c>
      <c r="D43" s="9" t="s">
        <v>919</v>
      </c>
      <c r="E43" s="9" t="s">
        <v>760</v>
      </c>
      <c r="F43" s="9" t="n">
        <v>1</v>
      </c>
      <c r="G43" s="9" t="s">
        <v>898</v>
      </c>
      <c r="H43" s="9" t="s">
        <v>920</v>
      </c>
    </row>
    <row r="44" customFormat="false" ht="23.85" hidden="false" customHeight="false" outlineLevel="0" collapsed="false">
      <c r="A44" s="8" t="s">
        <v>921</v>
      </c>
      <c r="B44" s="8" t="s">
        <v>922</v>
      </c>
      <c r="C44" s="8" t="s">
        <v>923</v>
      </c>
      <c r="D44" s="8" t="s">
        <v>924</v>
      </c>
      <c r="E44" s="8" t="s">
        <v>769</v>
      </c>
      <c r="F44" s="8" t="n">
        <v>1</v>
      </c>
      <c r="G44" s="8"/>
      <c r="H44" s="8" t="s">
        <v>925</v>
      </c>
    </row>
    <row r="45" customFormat="false" ht="15" hidden="false" customHeight="false" outlineLevel="0" collapsed="false">
      <c r="A45" s="9" t="s">
        <v>926</v>
      </c>
      <c r="B45" s="9" t="s">
        <v>922</v>
      </c>
      <c r="C45" s="9" t="s">
        <v>927</v>
      </c>
      <c r="D45" s="9" t="s">
        <v>928</v>
      </c>
      <c r="E45" s="9" t="s">
        <v>760</v>
      </c>
      <c r="F45" s="9" t="n">
        <v>1</v>
      </c>
      <c r="G45" s="9" t="s">
        <v>268</v>
      </c>
      <c r="H45" s="9" t="s">
        <v>929</v>
      </c>
    </row>
    <row r="46" customFormat="false" ht="15" hidden="false" customHeight="false" outlineLevel="0" collapsed="false">
      <c r="A46" s="8" t="s">
        <v>930</v>
      </c>
      <c r="B46" s="8" t="s">
        <v>931</v>
      </c>
      <c r="C46" s="8" t="s">
        <v>932</v>
      </c>
      <c r="D46" s="8" t="s">
        <v>933</v>
      </c>
      <c r="E46" s="8" t="s">
        <v>760</v>
      </c>
      <c r="F46" s="8" t="n">
        <v>2</v>
      </c>
      <c r="G46" s="8" t="s">
        <v>763</v>
      </c>
      <c r="H46" s="8" t="s">
        <v>934</v>
      </c>
    </row>
    <row r="47" customFormat="false" ht="15" hidden="false" customHeight="false" outlineLevel="0" collapsed="false">
      <c r="A47" s="9" t="s">
        <v>935</v>
      </c>
      <c r="B47" s="9" t="s">
        <v>931</v>
      </c>
      <c r="C47" s="9" t="s">
        <v>936</v>
      </c>
      <c r="D47" s="9" t="s">
        <v>937</v>
      </c>
      <c r="E47" s="9" t="s">
        <v>769</v>
      </c>
      <c r="F47" s="9" t="n">
        <v>2</v>
      </c>
      <c r="G47" s="9" t="s">
        <v>932</v>
      </c>
      <c r="H47" s="9" t="s">
        <v>938</v>
      </c>
    </row>
    <row r="48" customFormat="false" ht="15" hidden="false" customHeight="false" outlineLevel="0" collapsed="false">
      <c r="A48" s="8" t="s">
        <v>939</v>
      </c>
      <c r="B48" s="8" t="s">
        <v>931</v>
      </c>
      <c r="C48" s="8" t="s">
        <v>940</v>
      </c>
      <c r="D48" s="8" t="s">
        <v>941</v>
      </c>
      <c r="E48" s="8" t="s">
        <v>760</v>
      </c>
      <c r="F48" s="8" t="n">
        <v>2</v>
      </c>
      <c r="G48" s="8" t="s">
        <v>932</v>
      </c>
      <c r="H48" s="8" t="s">
        <v>942</v>
      </c>
    </row>
    <row r="49" customFormat="false" ht="23.85" hidden="false" customHeight="false" outlineLevel="0" collapsed="false">
      <c r="A49" s="9" t="s">
        <v>943</v>
      </c>
      <c r="B49" s="9" t="s">
        <v>944</v>
      </c>
      <c r="C49" s="9" t="s">
        <v>945</v>
      </c>
      <c r="D49" s="9" t="s">
        <v>946</v>
      </c>
      <c r="E49" s="9" t="s">
        <v>947</v>
      </c>
      <c r="F49" s="9" t="n">
        <v>3</v>
      </c>
      <c r="G49" s="9" t="s">
        <v>199</v>
      </c>
      <c r="H49" s="9"/>
    </row>
    <row r="50" customFormat="false" ht="15" hidden="false" customHeight="false" outlineLevel="0" collapsed="false">
      <c r="A50" s="8" t="s">
        <v>948</v>
      </c>
      <c r="B50" s="8" t="s">
        <v>944</v>
      </c>
      <c r="C50" s="8" t="s">
        <v>949</v>
      </c>
      <c r="D50" s="8" t="s">
        <v>950</v>
      </c>
      <c r="E50" s="8" t="s">
        <v>947</v>
      </c>
      <c r="F50" s="8" t="n">
        <v>3</v>
      </c>
      <c r="G50" s="8" t="s">
        <v>906</v>
      </c>
      <c r="H50" s="8"/>
    </row>
    <row r="51" customFormat="false" ht="15" hidden="false" customHeight="false" outlineLevel="0" collapsed="false">
      <c r="A51" s="9" t="s">
        <v>951</v>
      </c>
      <c r="B51" s="9" t="s">
        <v>944</v>
      </c>
      <c r="C51" s="9" t="s">
        <v>952</v>
      </c>
      <c r="D51" s="9" t="s">
        <v>953</v>
      </c>
      <c r="E51" s="9" t="s">
        <v>769</v>
      </c>
      <c r="F51" s="9" t="n">
        <v>3</v>
      </c>
      <c r="G51" s="9" t="s">
        <v>798</v>
      </c>
      <c r="H51" s="9"/>
    </row>
    <row r="52" customFormat="false" ht="15" hidden="false" customHeight="false" outlineLevel="0" collapsed="false">
      <c r="A52" s="8" t="s">
        <v>954</v>
      </c>
      <c r="B52" s="8" t="s">
        <v>944</v>
      </c>
      <c r="C52" s="8" t="s">
        <v>955</v>
      </c>
      <c r="D52" s="8" t="s">
        <v>956</v>
      </c>
      <c r="E52" s="8" t="s">
        <v>769</v>
      </c>
      <c r="F52" s="8" t="n">
        <v>2</v>
      </c>
      <c r="G52" s="8" t="s">
        <v>681</v>
      </c>
      <c r="H52" s="8"/>
    </row>
    <row r="53" customFormat="false" ht="15" hidden="false" customHeight="false" outlineLevel="0" collapsed="false">
      <c r="A53" s="9" t="s">
        <v>957</v>
      </c>
      <c r="B53" s="9" t="s">
        <v>944</v>
      </c>
      <c r="C53" s="9" t="s">
        <v>958</v>
      </c>
      <c r="D53" s="9" t="s">
        <v>959</v>
      </c>
      <c r="E53" s="9" t="s">
        <v>947</v>
      </c>
      <c r="F53" s="9" t="n">
        <v>3</v>
      </c>
      <c r="G53" s="9" t="s">
        <v>877</v>
      </c>
      <c r="H53" s="9"/>
    </row>
    <row r="54" customFormat="false" ht="23.85" hidden="false" customHeight="false" outlineLevel="0" collapsed="false">
      <c r="A54" s="8" t="s">
        <v>960</v>
      </c>
      <c r="B54" s="8" t="s">
        <v>336</v>
      </c>
      <c r="C54" s="8" t="s">
        <v>961</v>
      </c>
      <c r="D54" s="8" t="s">
        <v>962</v>
      </c>
      <c r="E54" s="8" t="s">
        <v>760</v>
      </c>
      <c r="F54" s="8" t="n">
        <v>1</v>
      </c>
      <c r="G54" s="8" t="s">
        <v>763</v>
      </c>
      <c r="H54" s="8" t="s">
        <v>963</v>
      </c>
    </row>
    <row r="55" customFormat="false" ht="23.85" hidden="false" customHeight="false" outlineLevel="0" collapsed="false">
      <c r="A55" s="9" t="s">
        <v>964</v>
      </c>
      <c r="B55" s="9" t="s">
        <v>336</v>
      </c>
      <c r="C55" s="9" t="s">
        <v>965</v>
      </c>
      <c r="D55" s="9" t="s">
        <v>966</v>
      </c>
      <c r="E55" s="9" t="s">
        <v>760</v>
      </c>
      <c r="F55" s="9" t="n">
        <v>1</v>
      </c>
      <c r="G55" s="9" t="s">
        <v>961</v>
      </c>
      <c r="H55" s="9" t="s">
        <v>967</v>
      </c>
    </row>
    <row r="56" customFormat="false" ht="23.85" hidden="false" customHeight="false" outlineLevel="0" collapsed="false">
      <c r="A56" s="8" t="s">
        <v>968</v>
      </c>
      <c r="B56" s="8" t="s">
        <v>336</v>
      </c>
      <c r="C56" s="8" t="s">
        <v>969</v>
      </c>
      <c r="D56" s="8" t="s">
        <v>970</v>
      </c>
      <c r="E56" s="8" t="s">
        <v>760</v>
      </c>
      <c r="F56" s="8" t="n">
        <v>1</v>
      </c>
      <c r="G56" s="8" t="s">
        <v>877</v>
      </c>
      <c r="H56" s="8" t="s">
        <v>971</v>
      </c>
    </row>
    <row r="57" customFormat="false" ht="23.85" hidden="false" customHeight="false" outlineLevel="0" collapsed="false">
      <c r="A57" s="9" t="s">
        <v>972</v>
      </c>
      <c r="B57" s="9" t="s">
        <v>336</v>
      </c>
      <c r="C57" s="9" t="s">
        <v>379</v>
      </c>
      <c r="D57" s="9" t="s">
        <v>973</v>
      </c>
      <c r="E57" s="9" t="s">
        <v>760</v>
      </c>
      <c r="F57" s="9" t="n">
        <v>1</v>
      </c>
      <c r="G57" s="9" t="s">
        <v>969</v>
      </c>
      <c r="H57" s="9" t="s">
        <v>974</v>
      </c>
    </row>
    <row r="58" customFormat="false" ht="15" hidden="false" customHeight="false" outlineLevel="0" collapsed="false">
      <c r="A58" s="8" t="s">
        <v>975</v>
      </c>
      <c r="B58" s="8" t="s">
        <v>382</v>
      </c>
      <c r="C58" s="8" t="s">
        <v>976</v>
      </c>
      <c r="D58" s="8" t="s">
        <v>977</v>
      </c>
      <c r="E58" s="8" t="s">
        <v>760</v>
      </c>
      <c r="F58" s="8" t="n">
        <v>1</v>
      </c>
      <c r="G58" s="8"/>
      <c r="H58" s="8" t="s">
        <v>978</v>
      </c>
    </row>
    <row r="59" customFormat="false" ht="15" hidden="false" customHeight="false" outlineLevel="0" collapsed="false">
      <c r="A59" s="9" t="s">
        <v>979</v>
      </c>
      <c r="B59" s="9" t="s">
        <v>382</v>
      </c>
      <c r="C59" s="9" t="s">
        <v>980</v>
      </c>
      <c r="D59" s="9" t="s">
        <v>981</v>
      </c>
      <c r="E59" s="9" t="s">
        <v>760</v>
      </c>
      <c r="F59" s="9" t="n">
        <v>1</v>
      </c>
      <c r="G59" s="9"/>
      <c r="H59" s="9" t="s">
        <v>982</v>
      </c>
    </row>
    <row r="60" customFormat="false" ht="15" hidden="false" customHeight="false" outlineLevel="0" collapsed="false">
      <c r="A60" s="8" t="s">
        <v>983</v>
      </c>
      <c r="B60" s="8" t="s">
        <v>382</v>
      </c>
      <c r="C60" s="8" t="s">
        <v>984</v>
      </c>
      <c r="D60" s="8" t="s">
        <v>985</v>
      </c>
      <c r="E60" s="8" t="s">
        <v>760</v>
      </c>
      <c r="F60" s="8" t="n">
        <v>1</v>
      </c>
      <c r="G60" s="8" t="s">
        <v>837</v>
      </c>
      <c r="H60" s="8" t="s">
        <v>986</v>
      </c>
    </row>
    <row r="61" customFormat="false" ht="15" hidden="false" customHeight="false" outlineLevel="0" collapsed="false">
      <c r="A61" s="9" t="s">
        <v>987</v>
      </c>
      <c r="B61" s="9" t="s">
        <v>382</v>
      </c>
      <c r="C61" s="9" t="s">
        <v>988</v>
      </c>
      <c r="D61" s="9" t="s">
        <v>989</v>
      </c>
      <c r="E61" s="9" t="s">
        <v>760</v>
      </c>
      <c r="F61" s="9" t="n">
        <v>1</v>
      </c>
      <c r="G61" s="9" t="s">
        <v>990</v>
      </c>
      <c r="H61" s="9" t="s">
        <v>991</v>
      </c>
    </row>
    <row r="62" customFormat="false" ht="23.85" hidden="false" customHeight="false" outlineLevel="0" collapsed="false">
      <c r="A62" s="8" t="s">
        <v>992</v>
      </c>
      <c r="B62" s="8" t="s">
        <v>382</v>
      </c>
      <c r="C62" s="8" t="s">
        <v>993</v>
      </c>
      <c r="D62" s="8" t="s">
        <v>994</v>
      </c>
      <c r="E62" s="8" t="s">
        <v>760</v>
      </c>
      <c r="F62" s="8" t="n">
        <v>1</v>
      </c>
      <c r="G62" s="8" t="s">
        <v>866</v>
      </c>
      <c r="H62" s="8" t="s">
        <v>995</v>
      </c>
    </row>
    <row r="63" customFormat="false" ht="23.85" hidden="false" customHeight="false" outlineLevel="0" collapsed="false">
      <c r="A63" s="9" t="s">
        <v>996</v>
      </c>
      <c r="B63" s="9" t="s">
        <v>382</v>
      </c>
      <c r="C63" s="9" t="s">
        <v>997</v>
      </c>
      <c r="D63" s="9" t="s">
        <v>998</v>
      </c>
      <c r="E63" s="9" t="s">
        <v>760</v>
      </c>
      <c r="F63" s="9" t="n">
        <v>1</v>
      </c>
      <c r="G63" s="9" t="s">
        <v>837</v>
      </c>
      <c r="H63" s="9" t="s">
        <v>999</v>
      </c>
    </row>
    <row r="64" customFormat="false" ht="23.85" hidden="false" customHeight="false" outlineLevel="0" collapsed="false">
      <c r="A64" s="8" t="s">
        <v>1000</v>
      </c>
      <c r="B64" s="8" t="s">
        <v>357</v>
      </c>
      <c r="C64" s="8" t="s">
        <v>1001</v>
      </c>
      <c r="D64" s="8" t="s">
        <v>1002</v>
      </c>
      <c r="E64" s="8" t="s">
        <v>769</v>
      </c>
      <c r="F64" s="8" t="n">
        <v>1</v>
      </c>
      <c r="G64" s="8" t="s">
        <v>854</v>
      </c>
      <c r="H64" s="8" t="s">
        <v>1003</v>
      </c>
    </row>
    <row r="65" customFormat="false" ht="23.85" hidden="false" customHeight="false" outlineLevel="0" collapsed="false">
      <c r="A65" s="9" t="s">
        <v>1004</v>
      </c>
      <c r="B65" s="9" t="s">
        <v>357</v>
      </c>
      <c r="C65" s="9" t="s">
        <v>1005</v>
      </c>
      <c r="D65" s="9" t="s">
        <v>1006</v>
      </c>
      <c r="E65" s="9" t="s">
        <v>760</v>
      </c>
      <c r="F65" s="9" t="n">
        <v>1</v>
      </c>
      <c r="G65" s="9" t="s">
        <v>854</v>
      </c>
      <c r="H65" s="9" t="s">
        <v>1007</v>
      </c>
    </row>
    <row r="66" customFormat="false" ht="23.85" hidden="false" customHeight="false" outlineLevel="0" collapsed="false">
      <c r="A66" s="8" t="s">
        <v>1008</v>
      </c>
      <c r="B66" s="8" t="s">
        <v>357</v>
      </c>
      <c r="C66" s="8" t="s">
        <v>1009</v>
      </c>
      <c r="D66" s="8" t="s">
        <v>1010</v>
      </c>
      <c r="E66" s="8" t="s">
        <v>760</v>
      </c>
      <c r="F66" s="8" t="n">
        <v>1</v>
      </c>
      <c r="G66" s="8" t="s">
        <v>1011</v>
      </c>
      <c r="H66" s="8" t="s">
        <v>1012</v>
      </c>
    </row>
    <row r="67" customFormat="false" ht="15" hidden="false" customHeight="false" outlineLevel="0" collapsed="false">
      <c r="A67" s="9" t="s">
        <v>1013</v>
      </c>
      <c r="B67" s="9" t="s">
        <v>427</v>
      </c>
      <c r="C67" s="9" t="s">
        <v>1014</v>
      </c>
      <c r="D67" s="9" t="s">
        <v>1015</v>
      </c>
      <c r="E67" s="9" t="s">
        <v>760</v>
      </c>
      <c r="F67" s="9" t="n">
        <v>1</v>
      </c>
      <c r="G67" s="9"/>
      <c r="H67" s="9" t="s">
        <v>1016</v>
      </c>
    </row>
    <row r="68" customFormat="false" ht="23.85" hidden="false" customHeight="false" outlineLevel="0" collapsed="false">
      <c r="A68" s="8" t="s">
        <v>1017</v>
      </c>
      <c r="B68" s="8" t="s">
        <v>427</v>
      </c>
      <c r="C68" s="8" t="s">
        <v>1018</v>
      </c>
      <c r="D68" s="8" t="s">
        <v>1019</v>
      </c>
      <c r="E68" s="8" t="s">
        <v>760</v>
      </c>
      <c r="F68" s="8" t="n">
        <v>1</v>
      </c>
      <c r="G68" s="8" t="s">
        <v>1014</v>
      </c>
      <c r="H68" s="8" t="s">
        <v>1020</v>
      </c>
    </row>
    <row r="69" customFormat="false" ht="23.85" hidden="false" customHeight="false" outlineLevel="0" collapsed="false">
      <c r="A69" s="9" t="s">
        <v>1021</v>
      </c>
      <c r="B69" s="9" t="s">
        <v>427</v>
      </c>
      <c r="C69" s="9" t="s">
        <v>1022</v>
      </c>
      <c r="D69" s="9" t="s">
        <v>1023</v>
      </c>
      <c r="E69" s="9" t="s">
        <v>760</v>
      </c>
      <c r="F69" s="9" t="n">
        <v>1</v>
      </c>
      <c r="G69" s="9" t="s">
        <v>758</v>
      </c>
      <c r="H69" s="9" t="s">
        <v>1024</v>
      </c>
    </row>
    <row r="70" customFormat="false" ht="23.85" hidden="false" customHeight="false" outlineLevel="0" collapsed="false">
      <c r="A70" s="8" t="s">
        <v>1025</v>
      </c>
      <c r="B70" s="8" t="s">
        <v>427</v>
      </c>
      <c r="C70" s="8" t="s">
        <v>1026</v>
      </c>
      <c r="D70" s="8" t="s">
        <v>1027</v>
      </c>
      <c r="E70" s="8" t="s">
        <v>760</v>
      </c>
      <c r="F70" s="8" t="n">
        <v>1</v>
      </c>
      <c r="G70" s="8" t="s">
        <v>681</v>
      </c>
      <c r="H70" s="8" t="s">
        <v>1028</v>
      </c>
    </row>
    <row r="71" customFormat="false" ht="15" hidden="false" customHeight="false" outlineLevel="0" collapsed="false">
      <c r="A71" s="9" t="s">
        <v>1029</v>
      </c>
      <c r="B71" s="9" t="s">
        <v>427</v>
      </c>
      <c r="C71" s="9" t="s">
        <v>1030</v>
      </c>
      <c r="D71" s="9" t="s">
        <v>1031</v>
      </c>
      <c r="E71" s="9" t="s">
        <v>769</v>
      </c>
      <c r="F71" s="9" t="n">
        <v>1</v>
      </c>
      <c r="G71" s="9" t="s">
        <v>1026</v>
      </c>
      <c r="H71" s="9" t="s">
        <v>1032</v>
      </c>
    </row>
    <row r="72" customFormat="false" ht="15" hidden="false" customHeight="false" outlineLevel="0" collapsed="false">
      <c r="A72" s="8" t="s">
        <v>1033</v>
      </c>
      <c r="B72" s="8" t="s">
        <v>427</v>
      </c>
      <c r="C72" s="8" t="s">
        <v>1034</v>
      </c>
      <c r="D72" s="8" t="s">
        <v>1035</v>
      </c>
      <c r="E72" s="8" t="s">
        <v>760</v>
      </c>
      <c r="F72" s="8" t="n">
        <v>1</v>
      </c>
      <c r="G72" s="8" t="s">
        <v>923</v>
      </c>
      <c r="H72" s="8" t="s">
        <v>1036</v>
      </c>
    </row>
    <row r="73" customFormat="false" ht="15" hidden="false" customHeight="false" outlineLevel="0" collapsed="false">
      <c r="A73" s="9" t="s">
        <v>1037</v>
      </c>
      <c r="B73" s="9" t="s">
        <v>427</v>
      </c>
      <c r="C73" s="9" t="s">
        <v>1038</v>
      </c>
      <c r="D73" s="9" t="s">
        <v>1039</v>
      </c>
      <c r="E73" s="9" t="s">
        <v>769</v>
      </c>
      <c r="F73" s="9" t="n">
        <v>1</v>
      </c>
      <c r="G73" s="9" t="s">
        <v>1040</v>
      </c>
      <c r="H73" s="9" t="s">
        <v>1041</v>
      </c>
    </row>
    <row r="74" customFormat="false" ht="23.85" hidden="false" customHeight="false" outlineLevel="0" collapsed="false">
      <c r="A74" s="8" t="s">
        <v>1042</v>
      </c>
      <c r="B74" s="8" t="s">
        <v>450</v>
      </c>
      <c r="C74" s="8" t="s">
        <v>1043</v>
      </c>
      <c r="D74" s="8" t="s">
        <v>1044</v>
      </c>
      <c r="E74" s="8" t="s">
        <v>760</v>
      </c>
      <c r="F74" s="8" t="n">
        <v>1</v>
      </c>
      <c r="G74" s="8" t="s">
        <v>829</v>
      </c>
      <c r="H74" s="8" t="s">
        <v>1045</v>
      </c>
    </row>
    <row r="75" customFormat="false" ht="23.85" hidden="false" customHeight="false" outlineLevel="0" collapsed="false">
      <c r="A75" s="9" t="s">
        <v>1046</v>
      </c>
      <c r="B75" s="9" t="s">
        <v>450</v>
      </c>
      <c r="C75" s="9" t="s">
        <v>1047</v>
      </c>
      <c r="D75" s="9" t="s">
        <v>1048</v>
      </c>
      <c r="E75" s="9" t="s">
        <v>760</v>
      </c>
      <c r="F75" s="9" t="n">
        <v>1</v>
      </c>
      <c r="G75" s="9" t="s">
        <v>1043</v>
      </c>
      <c r="H75" s="9" t="s">
        <v>1049</v>
      </c>
    </row>
    <row r="76" customFormat="false" ht="23.85" hidden="false" customHeight="false" outlineLevel="0" collapsed="false">
      <c r="A76" s="8" t="s">
        <v>1050</v>
      </c>
      <c r="B76" s="8" t="s">
        <v>450</v>
      </c>
      <c r="C76" s="8" t="s">
        <v>1051</v>
      </c>
      <c r="D76" s="8" t="s">
        <v>1052</v>
      </c>
      <c r="E76" s="8" t="s">
        <v>760</v>
      </c>
      <c r="F76" s="8" t="n">
        <v>1</v>
      </c>
      <c r="G76" s="8" t="s">
        <v>1043</v>
      </c>
      <c r="H76" s="8" t="s">
        <v>1053</v>
      </c>
    </row>
    <row r="77" customFormat="false" ht="23.85" hidden="false" customHeight="false" outlineLevel="0" collapsed="false">
      <c r="A77" s="9" t="s">
        <v>1054</v>
      </c>
      <c r="B77" s="9" t="s">
        <v>450</v>
      </c>
      <c r="C77" s="9" t="s">
        <v>1055</v>
      </c>
      <c r="D77" s="9" t="s">
        <v>1056</v>
      </c>
      <c r="E77" s="9" t="s">
        <v>760</v>
      </c>
      <c r="F77" s="9" t="n">
        <v>1</v>
      </c>
      <c r="G77" s="9" t="s">
        <v>829</v>
      </c>
      <c r="H77" s="9" t="s">
        <v>1057</v>
      </c>
    </row>
    <row r="78" customFormat="false" ht="23.85" hidden="false" customHeight="false" outlineLevel="0" collapsed="false">
      <c r="A78" s="8" t="s">
        <v>1058</v>
      </c>
      <c r="B78" s="8" t="s">
        <v>450</v>
      </c>
      <c r="C78" s="8" t="s">
        <v>1059</v>
      </c>
      <c r="D78" s="8" t="s">
        <v>1060</v>
      </c>
      <c r="E78" s="8" t="s">
        <v>769</v>
      </c>
      <c r="F78" s="8" t="n">
        <v>1</v>
      </c>
      <c r="G78" s="8" t="s">
        <v>1043</v>
      </c>
      <c r="H78" s="8" t="s">
        <v>1061</v>
      </c>
    </row>
    <row r="79" customFormat="false" ht="23.85" hidden="false" customHeight="false" outlineLevel="0" collapsed="false">
      <c r="A79" s="9" t="s">
        <v>1062</v>
      </c>
      <c r="B79" s="9" t="s">
        <v>450</v>
      </c>
      <c r="C79" s="9" t="s">
        <v>1063</v>
      </c>
      <c r="D79" s="9" t="s">
        <v>1064</v>
      </c>
      <c r="E79" s="9" t="s">
        <v>760</v>
      </c>
      <c r="F79" s="9" t="n">
        <v>1</v>
      </c>
      <c r="G79" s="9" t="s">
        <v>1043</v>
      </c>
      <c r="H79" s="9" t="s">
        <v>1065</v>
      </c>
    </row>
    <row r="80" customFormat="false" ht="23.85" hidden="false" customHeight="false" outlineLevel="0" collapsed="false">
      <c r="A80" s="8" t="s">
        <v>1066</v>
      </c>
      <c r="B80" s="8" t="s">
        <v>486</v>
      </c>
      <c r="C80" s="8" t="s">
        <v>1067</v>
      </c>
      <c r="D80" s="8" t="s">
        <v>1068</v>
      </c>
      <c r="E80" s="8" t="s">
        <v>760</v>
      </c>
      <c r="F80" s="8" t="n">
        <v>2</v>
      </c>
      <c r="G80" s="8" t="s">
        <v>499</v>
      </c>
      <c r="H80" s="8" t="s">
        <v>1069</v>
      </c>
    </row>
    <row r="81" customFormat="false" ht="23.85" hidden="false" customHeight="false" outlineLevel="0" collapsed="false">
      <c r="A81" s="9" t="s">
        <v>1070</v>
      </c>
      <c r="B81" s="9" t="s">
        <v>486</v>
      </c>
      <c r="C81" s="9" t="s">
        <v>1071</v>
      </c>
      <c r="D81" s="9" t="s">
        <v>1072</v>
      </c>
      <c r="E81" s="9" t="s">
        <v>760</v>
      </c>
      <c r="F81" s="9" t="n">
        <v>1</v>
      </c>
      <c r="G81" s="9" t="s">
        <v>1073</v>
      </c>
      <c r="H81" s="9" t="s">
        <v>1074</v>
      </c>
    </row>
    <row r="82" customFormat="false" ht="23.85" hidden="false" customHeight="false" outlineLevel="0" collapsed="false">
      <c r="A82" s="8" t="s">
        <v>1075</v>
      </c>
      <c r="B82" s="8" t="s">
        <v>486</v>
      </c>
      <c r="C82" s="8" t="s">
        <v>1076</v>
      </c>
      <c r="D82" s="8" t="s">
        <v>1077</v>
      </c>
      <c r="E82" s="8" t="s">
        <v>760</v>
      </c>
      <c r="F82" s="8" t="n">
        <v>2</v>
      </c>
      <c r="G82" s="8" t="s">
        <v>1078</v>
      </c>
      <c r="H82" s="8" t="s">
        <v>1079</v>
      </c>
    </row>
    <row r="83" customFormat="false" ht="23.85" hidden="false" customHeight="false" outlineLevel="0" collapsed="false">
      <c r="A83" s="9" t="s">
        <v>1080</v>
      </c>
      <c r="B83" s="9" t="s">
        <v>486</v>
      </c>
      <c r="C83" s="9" t="s">
        <v>1081</v>
      </c>
      <c r="D83" s="9" t="s">
        <v>1082</v>
      </c>
      <c r="E83" s="9" t="s">
        <v>769</v>
      </c>
      <c r="F83" s="9" t="n">
        <v>2</v>
      </c>
      <c r="G83" s="9" t="s">
        <v>1083</v>
      </c>
      <c r="H83" s="9" t="s">
        <v>1084</v>
      </c>
    </row>
    <row r="84" customFormat="false" ht="15" hidden="false" customHeight="false" outlineLevel="0" collapsed="false">
      <c r="A84" s="8" t="s">
        <v>1085</v>
      </c>
      <c r="B84" s="8" t="s">
        <v>486</v>
      </c>
      <c r="C84" s="8" t="s">
        <v>1086</v>
      </c>
      <c r="D84" s="8" t="s">
        <v>1087</v>
      </c>
      <c r="E84" s="8" t="s">
        <v>760</v>
      </c>
      <c r="F84" s="8" t="n">
        <v>2</v>
      </c>
      <c r="G84" s="8" t="s">
        <v>1078</v>
      </c>
      <c r="H84" s="8" t="s">
        <v>1088</v>
      </c>
    </row>
    <row r="85" customFormat="false" ht="23.85" hidden="false" customHeight="false" outlineLevel="0" collapsed="false">
      <c r="A85" s="9" t="s">
        <v>1089</v>
      </c>
      <c r="B85" s="9" t="s">
        <v>486</v>
      </c>
      <c r="C85" s="9" t="s">
        <v>1090</v>
      </c>
      <c r="D85" s="9" t="s">
        <v>1091</v>
      </c>
      <c r="E85" s="9" t="s">
        <v>760</v>
      </c>
      <c r="F85" s="9" t="n">
        <v>2</v>
      </c>
      <c r="G85" s="9" t="s">
        <v>1067</v>
      </c>
      <c r="H85" s="9" t="s">
        <v>1092</v>
      </c>
    </row>
    <row r="86" customFormat="false" ht="15" hidden="false" customHeight="false" outlineLevel="0" collapsed="false">
      <c r="A86" s="8" t="s">
        <v>1093</v>
      </c>
      <c r="B86" s="8" t="s">
        <v>486</v>
      </c>
      <c r="C86" s="8" t="s">
        <v>1094</v>
      </c>
      <c r="D86" s="8" t="s">
        <v>1095</v>
      </c>
      <c r="E86" s="8" t="s">
        <v>769</v>
      </c>
      <c r="F86" s="8" t="n">
        <v>2</v>
      </c>
      <c r="G86" s="8" t="s">
        <v>1067</v>
      </c>
      <c r="H86" s="8" t="s">
        <v>1096</v>
      </c>
    </row>
    <row r="87" customFormat="false" ht="15" hidden="false" customHeight="false" outlineLevel="0" collapsed="false">
      <c r="A87" s="9" t="s">
        <v>1097</v>
      </c>
      <c r="B87" s="9" t="s">
        <v>539</v>
      </c>
      <c r="C87" s="9" t="s">
        <v>1098</v>
      </c>
      <c r="D87" s="9" t="s">
        <v>1099</v>
      </c>
      <c r="E87" s="9" t="s">
        <v>760</v>
      </c>
      <c r="F87" s="9" t="n">
        <v>1</v>
      </c>
      <c r="G87" s="9" t="s">
        <v>772</v>
      </c>
      <c r="H87" s="9" t="s">
        <v>1100</v>
      </c>
    </row>
    <row r="88" customFormat="false" ht="23.85" hidden="false" customHeight="false" outlineLevel="0" collapsed="false">
      <c r="A88" s="8" t="s">
        <v>1101</v>
      </c>
      <c r="B88" s="8" t="s">
        <v>539</v>
      </c>
      <c r="C88" s="8" t="s">
        <v>1102</v>
      </c>
      <c r="D88" s="8" t="s">
        <v>1103</v>
      </c>
      <c r="E88" s="8" t="s">
        <v>760</v>
      </c>
      <c r="F88" s="8" t="n">
        <v>1</v>
      </c>
      <c r="G88" s="8" t="s">
        <v>1098</v>
      </c>
      <c r="H88" s="8" t="s">
        <v>1104</v>
      </c>
    </row>
    <row r="89" customFormat="false" ht="23.85" hidden="false" customHeight="false" outlineLevel="0" collapsed="false">
      <c r="A89" s="9" t="s">
        <v>1105</v>
      </c>
      <c r="B89" s="9" t="s">
        <v>944</v>
      </c>
      <c r="C89" s="9" t="s">
        <v>1106</v>
      </c>
      <c r="D89" s="9" t="s">
        <v>1107</v>
      </c>
      <c r="E89" s="9" t="s">
        <v>769</v>
      </c>
      <c r="F89" s="9" t="n">
        <v>2</v>
      </c>
      <c r="G89" s="9" t="s">
        <v>932</v>
      </c>
      <c r="H89" s="9" t="s">
        <v>1108</v>
      </c>
    </row>
    <row r="90" customFormat="false" ht="15" hidden="false" customHeight="false" outlineLevel="0" collapsed="false">
      <c r="A90" s="8" t="s">
        <v>1109</v>
      </c>
      <c r="B90" s="8" t="s">
        <v>944</v>
      </c>
      <c r="C90" s="8" t="s">
        <v>1110</v>
      </c>
      <c r="D90" s="8" t="s">
        <v>1111</v>
      </c>
      <c r="E90" s="8" t="s">
        <v>760</v>
      </c>
      <c r="F90" s="8" t="n">
        <v>2</v>
      </c>
      <c r="G90" s="8" t="s">
        <v>1112</v>
      </c>
      <c r="H90" s="8" t="s">
        <v>1113</v>
      </c>
    </row>
    <row r="91" customFormat="false" ht="23.85" hidden="false" customHeight="false" outlineLevel="0" collapsed="false">
      <c r="A91" s="9" t="s">
        <v>1114</v>
      </c>
      <c r="B91" s="9" t="s">
        <v>565</v>
      </c>
      <c r="C91" s="9" t="s">
        <v>574</v>
      </c>
      <c r="D91" s="9" t="s">
        <v>1115</v>
      </c>
      <c r="E91" s="9" t="s">
        <v>760</v>
      </c>
      <c r="F91" s="9" t="n">
        <v>1</v>
      </c>
      <c r="G91" s="9"/>
      <c r="H91" s="9" t="s">
        <v>1116</v>
      </c>
    </row>
    <row r="92" customFormat="false" ht="23.85" hidden="false" customHeight="false" outlineLevel="0" collapsed="false">
      <c r="A92" s="8" t="s">
        <v>1117</v>
      </c>
      <c r="B92" s="8" t="s">
        <v>565</v>
      </c>
      <c r="C92" s="8" t="s">
        <v>1118</v>
      </c>
      <c r="D92" s="8" t="s">
        <v>1119</v>
      </c>
      <c r="E92" s="8" t="s">
        <v>760</v>
      </c>
      <c r="F92" s="8" t="n">
        <v>1</v>
      </c>
      <c r="G92" s="8"/>
      <c r="H92" s="8" t="s">
        <v>1120</v>
      </c>
    </row>
    <row r="93" customFormat="false" ht="23.85" hidden="false" customHeight="false" outlineLevel="0" collapsed="false">
      <c r="A93" s="9" t="s">
        <v>1121</v>
      </c>
      <c r="B93" s="9" t="s">
        <v>565</v>
      </c>
      <c r="C93" s="9" t="s">
        <v>1122</v>
      </c>
      <c r="D93" s="9" t="s">
        <v>1123</v>
      </c>
      <c r="E93" s="9" t="s">
        <v>760</v>
      </c>
      <c r="F93" s="9" t="n">
        <v>1</v>
      </c>
      <c r="G93" s="9"/>
      <c r="H93" s="9" t="s">
        <v>1124</v>
      </c>
    </row>
    <row r="94" customFormat="false" ht="15" hidden="false" customHeight="false" outlineLevel="0" collapsed="false">
      <c r="A94" s="8" t="s">
        <v>1125</v>
      </c>
      <c r="B94" s="8" t="s">
        <v>918</v>
      </c>
      <c r="C94" s="8" t="s">
        <v>1126</v>
      </c>
      <c r="D94" s="8" t="s">
        <v>1127</v>
      </c>
      <c r="E94" s="8" t="s">
        <v>760</v>
      </c>
      <c r="F94" s="8" t="n">
        <v>1</v>
      </c>
      <c r="G94" s="8"/>
      <c r="H94" s="8" t="s">
        <v>1128</v>
      </c>
    </row>
    <row r="95" customFormat="false" ht="23.85" hidden="false" customHeight="false" outlineLevel="0" collapsed="false">
      <c r="A95" s="9" t="s">
        <v>1129</v>
      </c>
      <c r="B95" s="9" t="s">
        <v>918</v>
      </c>
      <c r="C95" s="9" t="s">
        <v>1130</v>
      </c>
      <c r="D95" s="9" t="s">
        <v>1131</v>
      </c>
      <c r="E95" s="9" t="s">
        <v>760</v>
      </c>
      <c r="F95" s="9" t="n">
        <v>1</v>
      </c>
      <c r="G95" s="9" t="s">
        <v>1126</v>
      </c>
      <c r="H95" s="9" t="s">
        <v>1132</v>
      </c>
    </row>
    <row r="96" customFormat="false" ht="15" hidden="false" customHeight="false" outlineLevel="0" collapsed="false">
      <c r="A96" s="8" t="s">
        <v>1133</v>
      </c>
      <c r="B96" s="8" t="s">
        <v>918</v>
      </c>
      <c r="C96" s="8" t="s">
        <v>1134</v>
      </c>
      <c r="D96" s="8" t="s">
        <v>1135</v>
      </c>
      <c r="E96" s="8" t="s">
        <v>769</v>
      </c>
      <c r="F96" s="8" t="n">
        <v>1</v>
      </c>
      <c r="G96" s="8" t="s">
        <v>1126</v>
      </c>
      <c r="H96" s="8" t="s">
        <v>1136</v>
      </c>
    </row>
    <row r="97" customFormat="false" ht="23.85" hidden="false" customHeight="false" outlineLevel="0" collapsed="false">
      <c r="A97" s="9" t="s">
        <v>1137</v>
      </c>
      <c r="B97" s="9" t="s">
        <v>427</v>
      </c>
      <c r="C97" s="9" t="s">
        <v>1138</v>
      </c>
      <c r="D97" s="9" t="s">
        <v>1139</v>
      </c>
      <c r="E97" s="9" t="s">
        <v>947</v>
      </c>
      <c r="F97" s="9" t="n">
        <v>2</v>
      </c>
      <c r="G97" s="9" t="s">
        <v>906</v>
      </c>
      <c r="H97" s="9" t="s">
        <v>1140</v>
      </c>
    </row>
  </sheetData>
  <autoFilter ref="A3:H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45"/>
    <col collapsed="false" customWidth="true" hidden="false" outlineLevel="0" max="3" min="3" style="0" width="14"/>
    <col collapsed="false" customWidth="true" hidden="false" outlineLevel="0" max="4" min="4" style="0" width="38"/>
    <col collapsed="false" customWidth="true" hidden="false" outlineLevel="0" max="5" min="5" style="0" width="60"/>
  </cols>
  <sheetData>
    <row r="1" customFormat="false" ht="19.7" hidden="false" customHeight="false" outlineLevel="0" collapsed="false">
      <c r="A1" s="1" t="s">
        <v>1141</v>
      </c>
    </row>
    <row r="2" customFormat="false" ht="15" hidden="false" customHeight="false" outlineLevel="0" collapsed="false">
      <c r="A2" s="2" t="s">
        <v>1142</v>
      </c>
    </row>
    <row r="4" customFormat="false" ht="15" hidden="false" customHeight="false" outlineLevel="0" collapsed="false">
      <c r="A4" s="5" t="s">
        <v>1143</v>
      </c>
      <c r="B4" s="6"/>
      <c r="C4" s="6"/>
      <c r="D4" s="6"/>
      <c r="E4" s="6"/>
    </row>
    <row r="5" customFormat="false" ht="15" hidden="false" customHeight="false" outlineLevel="0" collapsed="false">
      <c r="A5" s="7" t="s">
        <v>1144</v>
      </c>
      <c r="B5" s="7" t="s">
        <v>1145</v>
      </c>
      <c r="C5" s="7" t="s">
        <v>1146</v>
      </c>
      <c r="D5" s="7" t="s">
        <v>1147</v>
      </c>
      <c r="E5" s="7" t="s">
        <v>1148</v>
      </c>
    </row>
    <row r="6" customFormat="false" ht="15" hidden="false" customHeight="false" outlineLevel="0" collapsed="false">
      <c r="A6" s="8" t="s">
        <v>1149</v>
      </c>
      <c r="B6" s="8" t="s">
        <v>1150</v>
      </c>
      <c r="C6" s="11" t="n">
        <v>1</v>
      </c>
      <c r="D6" s="8" t="s">
        <v>1151</v>
      </c>
      <c r="E6" s="8" t="s">
        <v>1152</v>
      </c>
    </row>
    <row r="7" customFormat="false" ht="23.85" hidden="false" customHeight="false" outlineLevel="0" collapsed="false">
      <c r="A7" s="9" t="s">
        <v>1153</v>
      </c>
      <c r="B7" s="9" t="s">
        <v>1154</v>
      </c>
      <c r="C7" s="12" t="n">
        <v>0.85</v>
      </c>
      <c r="D7" s="9" t="s">
        <v>1155</v>
      </c>
      <c r="E7" s="9" t="s">
        <v>1156</v>
      </c>
    </row>
    <row r="8" customFormat="false" ht="23.85" hidden="false" customHeight="false" outlineLevel="0" collapsed="false">
      <c r="A8" s="8" t="s">
        <v>1157</v>
      </c>
      <c r="B8" s="8" t="s">
        <v>1158</v>
      </c>
      <c r="C8" s="11" t="n">
        <v>0.6</v>
      </c>
      <c r="D8" s="8" t="s">
        <v>1159</v>
      </c>
      <c r="E8" s="8" t="s">
        <v>1160</v>
      </c>
    </row>
    <row r="9" customFormat="false" ht="23.85" hidden="false" customHeight="false" outlineLevel="0" collapsed="false">
      <c r="A9" s="9" t="s">
        <v>1161</v>
      </c>
      <c r="B9" s="9" t="s">
        <v>1162</v>
      </c>
      <c r="C9" s="12" t="n">
        <v>0.6</v>
      </c>
      <c r="D9" s="9" t="s">
        <v>1163</v>
      </c>
      <c r="E9" s="9" t="s">
        <v>1164</v>
      </c>
    </row>
    <row r="10" customFormat="false" ht="23.85" hidden="false" customHeight="false" outlineLevel="0" collapsed="false">
      <c r="A10" s="8" t="s">
        <v>1165</v>
      </c>
      <c r="B10" s="8" t="s">
        <v>1166</v>
      </c>
      <c r="C10" s="11" t="n">
        <v>0.4</v>
      </c>
      <c r="D10" s="8" t="s">
        <v>1167</v>
      </c>
      <c r="E10" s="8" t="s">
        <v>1168</v>
      </c>
    </row>
    <row r="11" customFormat="false" ht="23.85" hidden="false" customHeight="false" outlineLevel="0" collapsed="false">
      <c r="A11" s="9" t="s">
        <v>366</v>
      </c>
      <c r="B11" s="9" t="s">
        <v>1169</v>
      </c>
      <c r="C11" s="12" t="n">
        <v>0</v>
      </c>
      <c r="D11" s="9" t="s">
        <v>1170</v>
      </c>
      <c r="E11" s="9" t="s">
        <v>1171</v>
      </c>
    </row>
    <row r="13" customFormat="false" ht="15" hidden="false" customHeight="false" outlineLevel="0" collapsed="false">
      <c r="A13" s="5" t="s">
        <v>1172</v>
      </c>
      <c r="B13" s="6"/>
      <c r="C13" s="6"/>
      <c r="D13" s="6"/>
      <c r="E13" s="6"/>
    </row>
    <row r="14" customFormat="false" ht="23.85" hidden="false" customHeight="false" outlineLevel="0" collapsed="false">
      <c r="A14" s="7" t="s">
        <v>1173</v>
      </c>
      <c r="B14" s="7" t="s">
        <v>600</v>
      </c>
      <c r="C14" s="7" t="s">
        <v>1174</v>
      </c>
      <c r="D14" s="7" t="s">
        <v>1175</v>
      </c>
    </row>
    <row r="15" customFormat="false" ht="23.85" hidden="false" customHeight="false" outlineLevel="0" collapsed="false">
      <c r="A15" s="8" t="s">
        <v>1176</v>
      </c>
      <c r="B15" s="8" t="s">
        <v>1177</v>
      </c>
      <c r="C15" s="11" t="n">
        <v>1</v>
      </c>
      <c r="D15" s="8" t="s">
        <v>1178</v>
      </c>
    </row>
    <row r="16" customFormat="false" ht="23.85" hidden="false" customHeight="false" outlineLevel="0" collapsed="false">
      <c r="A16" s="9" t="s">
        <v>1179</v>
      </c>
      <c r="B16" s="9" t="s">
        <v>1180</v>
      </c>
      <c r="C16" s="12" t="n">
        <v>0.95</v>
      </c>
      <c r="D16" s="9" t="s">
        <v>1181</v>
      </c>
    </row>
    <row r="17" customFormat="false" ht="23.85" hidden="false" customHeight="false" outlineLevel="0" collapsed="false">
      <c r="A17" s="8" t="s">
        <v>1182</v>
      </c>
      <c r="B17" s="8" t="s">
        <v>1183</v>
      </c>
      <c r="C17" s="11" t="n">
        <v>0.95</v>
      </c>
      <c r="D17" s="8" t="s">
        <v>1178</v>
      </c>
    </row>
    <row r="18" customFormat="false" ht="23.85" hidden="false" customHeight="false" outlineLevel="0" collapsed="false">
      <c r="A18" s="9" t="s">
        <v>1184</v>
      </c>
      <c r="B18" s="9" t="s">
        <v>1185</v>
      </c>
      <c r="C18" s="12" t="n">
        <v>0.85</v>
      </c>
      <c r="D18" s="9" t="s">
        <v>1178</v>
      </c>
    </row>
    <row r="19" customFormat="false" ht="23.85" hidden="false" customHeight="false" outlineLevel="0" collapsed="false">
      <c r="A19" s="8" t="s">
        <v>1186</v>
      </c>
      <c r="B19" s="8" t="s">
        <v>1187</v>
      </c>
      <c r="C19" s="11" t="n">
        <v>0.6</v>
      </c>
      <c r="D19" s="8" t="s">
        <v>1188</v>
      </c>
    </row>
    <row r="20" customFormat="false" ht="23.85" hidden="false" customHeight="false" outlineLevel="0" collapsed="false">
      <c r="A20" s="9" t="s">
        <v>1189</v>
      </c>
      <c r="B20" s="9" t="s">
        <v>1190</v>
      </c>
      <c r="C20" s="12" t="n">
        <v>0.5</v>
      </c>
      <c r="D20" s="9" t="s">
        <v>1191</v>
      </c>
    </row>
    <row r="21" customFormat="false" ht="15" hidden="false" customHeight="false" outlineLevel="0" collapsed="false">
      <c r="A21" s="8" t="s">
        <v>1192</v>
      </c>
      <c r="B21" s="8" t="s">
        <v>1193</v>
      </c>
      <c r="C21" s="11" t="n">
        <v>0</v>
      </c>
      <c r="D21" s="8" t="s">
        <v>1194</v>
      </c>
    </row>
    <row r="23" customFormat="false" ht="15" hidden="false" customHeight="false" outlineLevel="0" collapsed="false">
      <c r="A23" s="5" t="s">
        <v>1195</v>
      </c>
      <c r="B23" s="6"/>
      <c r="C23" s="6"/>
      <c r="D23" s="6"/>
      <c r="E23" s="6"/>
    </row>
    <row r="24" customFormat="false" ht="15" hidden="false" customHeight="false" outlineLevel="0" collapsed="false">
      <c r="A24" s="7" t="s">
        <v>1196</v>
      </c>
      <c r="B24" s="7" t="s">
        <v>1197</v>
      </c>
    </row>
    <row r="25" customFormat="false" ht="15" hidden="false" customHeight="false" outlineLevel="0" collapsed="false">
      <c r="A25" s="8" t="s">
        <v>1198</v>
      </c>
      <c r="B25" s="11" t="n">
        <v>1</v>
      </c>
    </row>
    <row r="26" customFormat="false" ht="15" hidden="false" customHeight="false" outlineLevel="0" collapsed="false">
      <c r="A26" s="9" t="s">
        <v>1199</v>
      </c>
      <c r="B26" s="12" t="n">
        <v>0.8</v>
      </c>
    </row>
    <row r="27" customFormat="false" ht="15" hidden="false" customHeight="false" outlineLevel="0" collapsed="false">
      <c r="A27" s="8" t="s">
        <v>1200</v>
      </c>
      <c r="B27" s="11" t="n">
        <v>0.6</v>
      </c>
    </row>
    <row r="28" customFormat="false" ht="15" hidden="false" customHeight="false" outlineLevel="0" collapsed="false">
      <c r="A28" s="9" t="s">
        <v>1201</v>
      </c>
      <c r="B28" s="12" t="n">
        <v>0.4</v>
      </c>
    </row>
    <row r="30" customFormat="false" ht="15" hidden="false" customHeight="false" outlineLevel="0" collapsed="false">
      <c r="A30" s="5" t="s">
        <v>1202</v>
      </c>
      <c r="B30" s="6"/>
      <c r="C30" s="6"/>
      <c r="D30" s="6"/>
      <c r="E30" s="6"/>
    </row>
    <row r="31" customFormat="false" ht="23.85" hidden="false" customHeight="false" outlineLevel="0" collapsed="false">
      <c r="A31" s="3" t="s">
        <v>1203</v>
      </c>
      <c r="B31" s="4" t="s">
        <v>1204</v>
      </c>
    </row>
    <row r="32" customFormat="false" ht="35.05" hidden="false" customHeight="false" outlineLevel="0" collapsed="false">
      <c r="A32" s="3" t="s">
        <v>1205</v>
      </c>
      <c r="B32" s="4" t="s">
        <v>1206</v>
      </c>
    </row>
    <row r="33" customFormat="false" ht="23.85" hidden="false" customHeight="false" outlineLevel="0" collapsed="false">
      <c r="A33" s="3" t="s">
        <v>1207</v>
      </c>
      <c r="B33" s="4" t="s">
        <v>1208</v>
      </c>
    </row>
    <row r="34" customFormat="false" ht="15" hidden="false" customHeight="false" outlineLevel="0" collapsed="false">
      <c r="A34" s="3" t="s">
        <v>1209</v>
      </c>
      <c r="B34" s="4" t="s">
        <v>1210</v>
      </c>
    </row>
    <row r="35" customFormat="false" ht="23.85" hidden="false" customHeight="false" outlineLevel="0" collapsed="false">
      <c r="A35" s="3" t="s">
        <v>1211</v>
      </c>
      <c r="B35" s="4" t="s">
        <v>1212</v>
      </c>
    </row>
    <row r="36" customFormat="false" ht="35.05" hidden="false" customHeight="false" outlineLevel="0" collapsed="false">
      <c r="A36" s="3" t="s">
        <v>1213</v>
      </c>
      <c r="B36" s="4" t="s">
        <v>1214</v>
      </c>
    </row>
    <row r="37" customFormat="false" ht="23.85" hidden="false" customHeight="false" outlineLevel="0" collapsed="false">
      <c r="A37" s="3" t="s">
        <v>1215</v>
      </c>
      <c r="B37" s="4" t="s">
        <v>1216</v>
      </c>
    </row>
    <row r="39" customFormat="false" ht="15" hidden="false" customHeight="false" outlineLevel="0" collapsed="false">
      <c r="A39" s="5" t="s">
        <v>1217</v>
      </c>
      <c r="B39" s="6"/>
      <c r="C39" s="6"/>
      <c r="D39" s="6"/>
      <c r="E39" s="6"/>
    </row>
    <row r="40" customFormat="false" ht="15" hidden="false" customHeight="false" outlineLevel="0" collapsed="false">
      <c r="A40" s="7" t="s">
        <v>1218</v>
      </c>
      <c r="B40" s="7" t="s">
        <v>1219</v>
      </c>
      <c r="C40" s="7" t="s">
        <v>1220</v>
      </c>
    </row>
    <row r="41" customFormat="false" ht="23.85" hidden="false" customHeight="false" outlineLevel="0" collapsed="false">
      <c r="A41" s="8" t="s">
        <v>1221</v>
      </c>
      <c r="B41" s="8" t="s">
        <v>1222</v>
      </c>
      <c r="C41" s="13" t="n">
        <v>0.25</v>
      </c>
    </row>
    <row r="42" customFormat="false" ht="23.85" hidden="false" customHeight="false" outlineLevel="0" collapsed="false">
      <c r="A42" s="9" t="s">
        <v>1223</v>
      </c>
      <c r="B42" s="9" t="s">
        <v>1224</v>
      </c>
      <c r="C42" s="14" t="n">
        <v>0.25</v>
      </c>
    </row>
    <row r="43" customFormat="false" ht="23.85" hidden="false" customHeight="false" outlineLevel="0" collapsed="false">
      <c r="A43" s="8" t="s">
        <v>1225</v>
      </c>
      <c r="B43" s="8" t="s">
        <v>1226</v>
      </c>
      <c r="C43" s="13" t="n">
        <v>0.2</v>
      </c>
    </row>
    <row r="44" customFormat="false" ht="23.85" hidden="false" customHeight="false" outlineLevel="0" collapsed="false">
      <c r="A44" s="9" t="s">
        <v>1227</v>
      </c>
      <c r="B44" s="9" t="s">
        <v>1228</v>
      </c>
      <c r="C44" s="14" t="n">
        <v>0.15</v>
      </c>
    </row>
    <row r="45" customFormat="false" ht="23.85" hidden="false" customHeight="false" outlineLevel="0" collapsed="false">
      <c r="A45" s="8" t="s">
        <v>1229</v>
      </c>
      <c r="B45" s="8" t="s">
        <v>1230</v>
      </c>
      <c r="C45" s="13" t="n">
        <v>0.15</v>
      </c>
    </row>
    <row r="46" customFormat="false" ht="15" hidden="false" customHeight="false" outlineLevel="0" collapsed="false">
      <c r="B46" s="15" t="s">
        <v>1231</v>
      </c>
      <c r="C46" s="16" t="n">
        <f aca="false">SUM(C41:C45)</f>
        <v>1</v>
      </c>
    </row>
    <row r="48" customFormat="false" ht="15" hidden="false" customHeight="false" outlineLevel="0" collapsed="false">
      <c r="A48" s="7" t="s">
        <v>1232</v>
      </c>
      <c r="B48" s="7" t="s">
        <v>1233</v>
      </c>
    </row>
    <row r="49" customFormat="false" ht="15" hidden="false" customHeight="false" outlineLevel="0" collapsed="false">
      <c r="A49" s="8" t="s">
        <v>1234</v>
      </c>
      <c r="B49" s="8" t="s">
        <v>1235</v>
      </c>
    </row>
    <row r="50" customFormat="false" ht="15" hidden="false" customHeight="false" outlineLevel="0" collapsed="false">
      <c r="A50" s="9" t="s">
        <v>1236</v>
      </c>
      <c r="B50" s="9" t="s">
        <v>1237</v>
      </c>
    </row>
    <row r="51" customFormat="false" ht="15" hidden="false" customHeight="false" outlineLevel="0" collapsed="false">
      <c r="A51" s="8" t="s">
        <v>1238</v>
      </c>
      <c r="B51" s="8" t="s">
        <v>1239</v>
      </c>
    </row>
    <row r="52" customFormat="false" ht="15" hidden="false" customHeight="false" outlineLevel="0" collapsed="false">
      <c r="A52" s="9" t="s">
        <v>1240</v>
      </c>
      <c r="B52" s="9" t="s">
        <v>1241</v>
      </c>
    </row>
    <row r="54" customFormat="false" ht="15" hidden="false" customHeight="false" outlineLevel="0" collapsed="false">
      <c r="A54" s="5" t="s">
        <v>1242</v>
      </c>
      <c r="B54" s="6"/>
      <c r="C54" s="6"/>
      <c r="D54" s="6"/>
      <c r="E54" s="6"/>
    </row>
    <row r="55" customFormat="false" ht="23.85" hidden="false" customHeight="false" outlineLevel="0" collapsed="false">
      <c r="A55" s="3" t="s">
        <v>1243</v>
      </c>
      <c r="B55" s="4" t="s">
        <v>1244</v>
      </c>
    </row>
    <row r="56" customFormat="false" ht="35.05" hidden="false" customHeight="false" outlineLevel="0" collapsed="false">
      <c r="A56" s="3" t="s">
        <v>1245</v>
      </c>
      <c r="B56" s="4" t="s">
        <v>1246</v>
      </c>
    </row>
    <row r="57" customFormat="false" ht="15" hidden="false" customHeight="false" outlineLevel="0" collapsed="false">
      <c r="A57" s="3" t="s">
        <v>1247</v>
      </c>
      <c r="B57" s="4" t="s">
        <v>1248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45"/>
    <col collapsed="false" customWidth="true" hidden="false" outlineLevel="0" max="4" min="4" style="0" width="14"/>
    <col collapsed="false" customWidth="true" hidden="false" outlineLevel="0" max="5" min="5" style="0" width="50"/>
  </cols>
  <sheetData>
    <row r="1" customFormat="false" ht="19.7" hidden="false" customHeight="false" outlineLevel="0" collapsed="false">
      <c r="A1" s="1" t="s">
        <v>1249</v>
      </c>
    </row>
    <row r="3" customFormat="false" ht="23.85" hidden="false" customHeight="false" outlineLevel="0" collapsed="false">
      <c r="A3" s="7" t="s">
        <v>1250</v>
      </c>
      <c r="B3" s="7" t="s">
        <v>1251</v>
      </c>
      <c r="C3" s="7" t="s">
        <v>1252</v>
      </c>
      <c r="D3" s="7" t="s">
        <v>1253</v>
      </c>
      <c r="E3" s="7" t="s">
        <v>1254</v>
      </c>
    </row>
    <row r="4" customFormat="false" ht="15" hidden="false" customHeight="false" outlineLevel="0" collapsed="false">
      <c r="A4" s="8" t="s">
        <v>1255</v>
      </c>
      <c r="B4" s="8" t="s">
        <v>1256</v>
      </c>
      <c r="C4" s="8" t="s">
        <v>1257</v>
      </c>
      <c r="D4" s="8" t="s">
        <v>134</v>
      </c>
      <c r="E4" s="8" t="s">
        <v>1258</v>
      </c>
    </row>
    <row r="5" customFormat="false" ht="15" hidden="false" customHeight="false" outlineLevel="0" collapsed="false">
      <c r="A5" s="9" t="s">
        <v>1259</v>
      </c>
      <c r="B5" s="9" t="s">
        <v>1260</v>
      </c>
      <c r="C5" s="9" t="s">
        <v>1261</v>
      </c>
      <c r="D5" s="9" t="s">
        <v>134</v>
      </c>
      <c r="E5" s="9" t="s">
        <v>1262</v>
      </c>
    </row>
    <row r="6" customFormat="false" ht="15" hidden="false" customHeight="false" outlineLevel="0" collapsed="false">
      <c r="A6" s="8" t="s">
        <v>1263</v>
      </c>
      <c r="B6" s="8" t="s">
        <v>1264</v>
      </c>
      <c r="C6" s="8" t="s">
        <v>1265</v>
      </c>
      <c r="D6" s="8" t="s">
        <v>134</v>
      </c>
      <c r="E6" s="8" t="s">
        <v>1266</v>
      </c>
    </row>
    <row r="7" customFormat="false" ht="15" hidden="false" customHeight="false" outlineLevel="0" collapsed="false">
      <c r="A7" s="9" t="s">
        <v>1267</v>
      </c>
      <c r="B7" s="9" t="s">
        <v>1268</v>
      </c>
      <c r="C7" s="9" t="s">
        <v>1269</v>
      </c>
      <c r="D7" s="9" t="s">
        <v>134</v>
      </c>
      <c r="E7" s="9" t="s">
        <v>1270</v>
      </c>
    </row>
    <row r="8" customFormat="false" ht="15" hidden="false" customHeight="false" outlineLevel="0" collapsed="false">
      <c r="A8" s="8" t="s">
        <v>1271</v>
      </c>
      <c r="B8" s="8" t="s">
        <v>1268</v>
      </c>
      <c r="C8" s="8" t="s">
        <v>1269</v>
      </c>
      <c r="D8" s="8" t="s">
        <v>134</v>
      </c>
      <c r="E8" s="8" t="s">
        <v>1270</v>
      </c>
    </row>
    <row r="9" customFormat="false" ht="23.85" hidden="false" customHeight="false" outlineLevel="0" collapsed="false">
      <c r="A9" s="9" t="s">
        <v>246</v>
      </c>
      <c r="B9" s="9" t="s">
        <v>1272</v>
      </c>
      <c r="C9" s="9" t="s">
        <v>1273</v>
      </c>
      <c r="D9" s="9" t="s">
        <v>134</v>
      </c>
      <c r="E9" s="9" t="s">
        <v>1274</v>
      </c>
    </row>
    <row r="10" customFormat="false" ht="15" hidden="false" customHeight="false" outlineLevel="0" collapsed="false">
      <c r="A10" s="8" t="s">
        <v>1275</v>
      </c>
      <c r="B10" s="8" t="s">
        <v>1276</v>
      </c>
      <c r="C10" s="8" t="s">
        <v>1277</v>
      </c>
      <c r="D10" s="8" t="s">
        <v>134</v>
      </c>
      <c r="E10" s="8" t="s">
        <v>1274</v>
      </c>
    </row>
    <row r="11" customFormat="false" ht="15" hidden="false" customHeight="false" outlineLevel="0" collapsed="false">
      <c r="A11" s="9" t="s">
        <v>1278</v>
      </c>
      <c r="B11" s="9" t="s">
        <v>1276</v>
      </c>
      <c r="C11" s="9" t="s">
        <v>1279</v>
      </c>
      <c r="D11" s="9" t="s">
        <v>134</v>
      </c>
      <c r="E11" s="9" t="s">
        <v>1274</v>
      </c>
    </row>
    <row r="12" customFormat="false" ht="15" hidden="false" customHeight="false" outlineLevel="0" collapsed="false">
      <c r="A12" s="8" t="s">
        <v>1280</v>
      </c>
      <c r="B12" s="8" t="s">
        <v>1276</v>
      </c>
      <c r="C12" s="8" t="s">
        <v>1281</v>
      </c>
      <c r="D12" s="8" t="s">
        <v>134</v>
      </c>
      <c r="E12" s="8" t="s">
        <v>1274</v>
      </c>
    </row>
    <row r="13" customFormat="false" ht="15" hidden="false" customHeight="false" outlineLevel="0" collapsed="false">
      <c r="A13" s="9" t="s">
        <v>1282</v>
      </c>
      <c r="B13" s="9" t="s">
        <v>1276</v>
      </c>
      <c r="C13" s="9" t="s">
        <v>1277</v>
      </c>
      <c r="D13" s="9" t="s">
        <v>134</v>
      </c>
      <c r="E13" s="9" t="s">
        <v>1274</v>
      </c>
    </row>
    <row r="14" customFormat="false" ht="15" hidden="false" customHeight="false" outlineLevel="0" collapsed="false">
      <c r="A14" s="8" t="s">
        <v>1283</v>
      </c>
      <c r="B14" s="8" t="s">
        <v>1276</v>
      </c>
      <c r="C14" s="8" t="s">
        <v>1277</v>
      </c>
      <c r="D14" s="8" t="s">
        <v>134</v>
      </c>
      <c r="E14" s="8" t="s">
        <v>1274</v>
      </c>
    </row>
    <row r="15" customFormat="false" ht="15" hidden="false" customHeight="false" outlineLevel="0" collapsed="false">
      <c r="A15" s="9" t="s">
        <v>1284</v>
      </c>
      <c r="B15" s="9" t="s">
        <v>1276</v>
      </c>
      <c r="C15" s="9" t="s">
        <v>1277</v>
      </c>
      <c r="D15" s="9" t="s">
        <v>134</v>
      </c>
      <c r="E15" s="9" t="s">
        <v>1274</v>
      </c>
    </row>
    <row r="16" customFormat="false" ht="15" hidden="false" customHeight="false" outlineLevel="0" collapsed="false">
      <c r="A16" s="8" t="s">
        <v>234</v>
      </c>
      <c r="B16" s="8" t="s">
        <v>1285</v>
      </c>
      <c r="C16" s="8" t="s">
        <v>1286</v>
      </c>
      <c r="D16" s="8" t="s">
        <v>134</v>
      </c>
      <c r="E16" s="8" t="s">
        <v>1274</v>
      </c>
    </row>
    <row r="17" customFormat="false" ht="15" hidden="false" customHeight="false" outlineLevel="0" collapsed="false">
      <c r="A17" s="9" t="s">
        <v>1287</v>
      </c>
      <c r="B17" s="9" t="s">
        <v>1276</v>
      </c>
      <c r="C17" s="9" t="s">
        <v>1281</v>
      </c>
      <c r="D17" s="9" t="s">
        <v>134</v>
      </c>
      <c r="E17" s="9" t="s">
        <v>1274</v>
      </c>
    </row>
    <row r="18" customFormat="false" ht="15" hidden="false" customHeight="false" outlineLevel="0" collapsed="false">
      <c r="A18" s="8" t="s">
        <v>213</v>
      </c>
      <c r="B18" s="8" t="s">
        <v>1276</v>
      </c>
      <c r="C18" s="8" t="s">
        <v>1288</v>
      </c>
      <c r="D18" s="8" t="s">
        <v>134</v>
      </c>
      <c r="E18" s="8" t="s">
        <v>1289</v>
      </c>
    </row>
    <row r="19" customFormat="false" ht="15" hidden="false" customHeight="false" outlineLevel="0" collapsed="false">
      <c r="A19" s="9" t="s">
        <v>1290</v>
      </c>
      <c r="B19" s="9" t="s">
        <v>1276</v>
      </c>
      <c r="C19" s="9" t="s">
        <v>1291</v>
      </c>
      <c r="D19" s="9" t="s">
        <v>134</v>
      </c>
      <c r="E19" s="9" t="s">
        <v>1292</v>
      </c>
    </row>
  </sheetData>
  <autoFilter ref="A3:E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52"/>
    <col collapsed="false" customWidth="true" hidden="false" outlineLevel="0" max="4" min="4" style="0" width="3"/>
    <col collapsed="false" customWidth="true" hidden="false" outlineLevel="0" max="5" min="5" style="0" width="12"/>
    <col collapsed="false" customWidth="true" hidden="false" outlineLevel="0" max="6" min="6" style="0" width="16"/>
    <col collapsed="false" customWidth="true" hidden="false" outlineLevel="0" max="7" min="7" style="0" width="20"/>
    <col collapsed="false" customWidth="true" hidden="false" outlineLevel="0" max="8" min="8" style="0" width="16"/>
    <col collapsed="false" customWidth="true" hidden="false" outlineLevel="0" max="9" min="9" style="0" width="14"/>
    <col collapsed="false" customWidth="true" hidden="false" outlineLevel="0" max="10" min="10" style="0" width="12"/>
  </cols>
  <sheetData>
    <row r="1" customFormat="false" ht="19.7" hidden="false" customHeight="false" outlineLevel="0" collapsed="false">
      <c r="A1" s="1" t="s">
        <v>1293</v>
      </c>
    </row>
    <row r="2" customFormat="false" ht="15" hidden="false" customHeight="false" outlineLevel="0" collapsed="false">
      <c r="A2" s="2" t="s">
        <v>1294</v>
      </c>
    </row>
    <row r="3" customFormat="false" ht="15" hidden="false" customHeight="false" outlineLevel="0" collapsed="false">
      <c r="A3" s="5" t="s">
        <v>1295</v>
      </c>
      <c r="B3" s="6"/>
      <c r="C3" s="6"/>
      <c r="E3" s="5" t="s">
        <v>1296</v>
      </c>
      <c r="F3" s="6"/>
      <c r="G3" s="6"/>
      <c r="H3" s="6"/>
      <c r="I3" s="6"/>
      <c r="J3" s="6"/>
    </row>
    <row r="4" customFormat="false" ht="23.85" hidden="false" customHeight="false" outlineLevel="0" collapsed="false">
      <c r="A4" s="17" t="s">
        <v>1297</v>
      </c>
      <c r="B4" s="18" t="s">
        <v>134</v>
      </c>
      <c r="C4" s="19" t="s">
        <v>1298</v>
      </c>
      <c r="E4" s="20" t="s">
        <v>1299</v>
      </c>
      <c r="F4" s="20" t="s">
        <v>1300</v>
      </c>
      <c r="G4" s="20" t="s">
        <v>1301</v>
      </c>
      <c r="H4" s="20" t="s">
        <v>1302</v>
      </c>
      <c r="I4" s="20" t="s">
        <v>1303</v>
      </c>
      <c r="J4" s="20" t="s">
        <v>1304</v>
      </c>
    </row>
    <row r="5" customFormat="false" ht="15" hidden="false" customHeight="false" outlineLevel="0" collapsed="false">
      <c r="A5" s="17" t="s">
        <v>1305</v>
      </c>
      <c r="B5" s="21" t="n">
        <v>0.1</v>
      </c>
      <c r="C5" s="19" t="s">
        <v>1306</v>
      </c>
      <c r="E5" s="22" t="n">
        <v>0.6</v>
      </c>
      <c r="F5" s="23" t="n">
        <f aca="false">$B$46*E5</f>
        <v>4761.60749122122</v>
      </c>
      <c r="G5" s="23" t="n">
        <f aca="false">F5*$B$43+$B$38</f>
        <v>9120</v>
      </c>
      <c r="H5" s="23" t="n">
        <f aca="false">$B$19-G5</f>
        <v>7698.18181818182</v>
      </c>
      <c r="I5" s="24" t="n">
        <f aca="false">IF(G5=0,0,H5/G5)</f>
        <v>0.844098883572568</v>
      </c>
      <c r="J5" s="25" t="str">
        <f aca="false">IF(H5&gt;=IF($B$7="$",$B$8,$B$9*G5)-0.5,"Green",IF(H5&gt;0,"Amber","Red"))</f>
        <v>Green</v>
      </c>
    </row>
    <row r="6" customFormat="false" ht="15" hidden="false" customHeight="false" outlineLevel="0" collapsed="false">
      <c r="A6" s="17" t="s">
        <v>1307</v>
      </c>
      <c r="B6" s="18" t="s">
        <v>1308</v>
      </c>
      <c r="C6" s="19" t="s">
        <v>1309</v>
      </c>
      <c r="E6" s="22" t="n">
        <v>0.7</v>
      </c>
      <c r="F6" s="23" t="n">
        <f aca="false">$B$46*E6</f>
        <v>5555.2087397581</v>
      </c>
      <c r="G6" s="23" t="n">
        <f aca="false">F6*$B$43+$B$38</f>
        <v>10044.5454545455</v>
      </c>
      <c r="H6" s="23" t="n">
        <f aca="false">$B$19-G6</f>
        <v>6773.63636363636</v>
      </c>
      <c r="I6" s="24" t="n">
        <f aca="false">IF(G6=0,0,H6/G6)</f>
        <v>0.674359670558422</v>
      </c>
      <c r="J6" s="25" t="str">
        <f aca="false">IF(H6&gt;=IF($B$7="$",$B$8,$B$9*G6)-0.5,"Green",IF(H6&gt;0,"Amber","Red"))</f>
        <v>Green</v>
      </c>
    </row>
    <row r="7" customFormat="false" ht="15" hidden="false" customHeight="false" outlineLevel="0" collapsed="false">
      <c r="A7" s="17" t="s">
        <v>1310</v>
      </c>
      <c r="B7" s="18" t="s">
        <v>1311</v>
      </c>
      <c r="C7" s="19" t="s">
        <v>1312</v>
      </c>
      <c r="E7" s="22" t="n">
        <v>0.8</v>
      </c>
      <c r="F7" s="23" t="n">
        <f aca="false">$B$46*E7</f>
        <v>6348.80998829497</v>
      </c>
      <c r="G7" s="23" t="n">
        <f aca="false">F7*$B$43+$B$38</f>
        <v>10969.0909090909</v>
      </c>
      <c r="H7" s="23" t="n">
        <f aca="false">$B$19-G7</f>
        <v>5849.09090909091</v>
      </c>
      <c r="I7" s="24" t="n">
        <f aca="false">IF(G7=0,0,H7/G7)</f>
        <v>0.53323388032488</v>
      </c>
      <c r="J7" s="25" t="str">
        <f aca="false">IF(H7&gt;=IF($B$7="$",$B$8,$B$9*G7)-0.5,"Green",IF(H7&gt;0,"Amber","Red"))</f>
        <v>Green</v>
      </c>
    </row>
    <row r="8" customFormat="false" ht="15" hidden="false" customHeight="false" outlineLevel="0" collapsed="false">
      <c r="A8" s="17" t="s">
        <v>1313</v>
      </c>
      <c r="B8" s="26" t="n">
        <v>4000</v>
      </c>
      <c r="C8" s="19" t="s">
        <v>1314</v>
      </c>
      <c r="E8" s="22" t="n">
        <v>0.9</v>
      </c>
      <c r="F8" s="23" t="n">
        <f aca="false">$B$46*E8</f>
        <v>7142.41123683184</v>
      </c>
      <c r="G8" s="23" t="n">
        <f aca="false">F8*$B$43+$B$38</f>
        <v>11893.6363636364</v>
      </c>
      <c r="H8" s="23" t="n">
        <f aca="false">$B$19-G8</f>
        <v>4924.54545454545</v>
      </c>
      <c r="I8" s="24" t="n">
        <f aca="false">IF(G8=0,0,H8/G8)</f>
        <v>0.414048765573645</v>
      </c>
      <c r="J8" s="25" t="str">
        <f aca="false">IF(H8&gt;=IF($B$7="$",$B$8,$B$9*G8)-0.5,"Green",IF(H8&gt;0,"Amber","Red"))</f>
        <v>Green</v>
      </c>
    </row>
    <row r="9" customFormat="false" ht="15" hidden="false" customHeight="false" outlineLevel="0" collapsed="false">
      <c r="A9" s="17" t="s">
        <v>1315</v>
      </c>
      <c r="B9" s="27" t="n">
        <v>0.25</v>
      </c>
      <c r="C9" s="19" t="s">
        <v>1316</v>
      </c>
      <c r="E9" s="22" t="n">
        <v>1</v>
      </c>
      <c r="F9" s="23" t="n">
        <f aca="false">$B$46*E9</f>
        <v>7936.01248536871</v>
      </c>
      <c r="G9" s="23" t="n">
        <f aca="false">F9*$B$43+$B$38</f>
        <v>12818.1818181818</v>
      </c>
      <c r="H9" s="23" t="n">
        <f aca="false">$B$19-G9</f>
        <v>4000</v>
      </c>
      <c r="I9" s="24" t="n">
        <f aca="false">IF(G9=0,0,H9/G9)</f>
        <v>0.312056737588653</v>
      </c>
      <c r="J9" s="25" t="str">
        <f aca="false">IF(H9&gt;=IF($B$7="$",$B$8,$B$9*G9)-0.5,"Green",IF(H9&gt;0,"Amber","Red"))</f>
        <v>Green</v>
      </c>
    </row>
    <row r="10" customFormat="false" ht="15" hidden="false" customHeight="false" outlineLevel="0" collapsed="false">
      <c r="A10" s="17" t="s">
        <v>1317</v>
      </c>
      <c r="B10" s="26" t="n">
        <v>1500</v>
      </c>
      <c r="C10" s="19" t="s">
        <v>1318</v>
      </c>
      <c r="E10" s="22" t="n">
        <v>1.1</v>
      </c>
      <c r="F10" s="23" t="n">
        <f aca="false">$B$46*E10</f>
        <v>8729.61373390558</v>
      </c>
      <c r="G10" s="23" t="n">
        <f aca="false">F10*$B$43+$B$38</f>
        <v>13742.7272727273</v>
      </c>
      <c r="H10" s="23" t="n">
        <f aca="false">$B$19-G10</f>
        <v>3075.45454545454</v>
      </c>
      <c r="I10" s="24" t="n">
        <f aca="false">IF(G10=0,0,H10/G10)</f>
        <v>0.223787788582391</v>
      </c>
      <c r="J10" s="25" t="str">
        <f aca="false">IF(H10&gt;=IF($B$7="$",$B$8,$B$9*G10)-0.5,"Green",IF(H10&gt;0,"Amber","Red"))</f>
        <v>Amber</v>
      </c>
    </row>
    <row r="11" customFormat="false" ht="15" hidden="false" customHeight="false" outlineLevel="0" collapsed="false">
      <c r="A11" s="17" t="s">
        <v>1319</v>
      </c>
      <c r="B11" s="27" t="n">
        <v>0.1</v>
      </c>
      <c r="C11" s="19" t="s">
        <v>1320</v>
      </c>
      <c r="E11" s="22" t="n">
        <v>1.2</v>
      </c>
      <c r="F11" s="23" t="n">
        <f aca="false">$B$46*E11</f>
        <v>9523.21498244245</v>
      </c>
      <c r="G11" s="23" t="n">
        <f aca="false">F11*$B$43+$B$38</f>
        <v>14667.2727272727</v>
      </c>
      <c r="H11" s="23" t="n">
        <f aca="false">$B$19-G11</f>
        <v>2150.90909090909</v>
      </c>
      <c r="I11" s="24" t="n">
        <f aca="false">IF(G11=0,0,H11/G11)</f>
        <v>0.146646832775505</v>
      </c>
      <c r="J11" s="25" t="str">
        <f aca="false">IF(H11&gt;=IF($B$7="$",$B$8,$B$9*G11)-0.5,"Green",IF(H11&gt;0,"Amber","Red"))</f>
        <v>Amber</v>
      </c>
    </row>
    <row r="12" customFormat="false" ht="15" hidden="false" customHeight="false" outlineLevel="0" collapsed="false">
      <c r="E12" s="22" t="n">
        <v>1.3</v>
      </c>
      <c r="F12" s="23" t="n">
        <f aca="false">$B$46*E12</f>
        <v>10316.8162309793</v>
      </c>
      <c r="G12" s="23" t="n">
        <f aca="false">F12*$B$43+$B$38</f>
        <v>15591.8181818182</v>
      </c>
      <c r="H12" s="23" t="n">
        <f aca="false">$B$19-G12</f>
        <v>1226.36363636364</v>
      </c>
      <c r="I12" s="24" t="n">
        <f aca="false">IF(G12=0,0,H12/G12)</f>
        <v>0.0786543058713778</v>
      </c>
      <c r="J12" s="25" t="str">
        <f aca="false">IF(H12&gt;=IF($B$7="$",$B$8,$B$9*G12)-0.5,"Green",IF(H12&gt;0,"Amber","Red"))</f>
        <v>Amber</v>
      </c>
    </row>
    <row r="13" customFormat="false" ht="15" hidden="false" customHeight="false" outlineLevel="0" collapsed="false">
      <c r="A13" s="5" t="s">
        <v>1321</v>
      </c>
      <c r="B13" s="6"/>
      <c r="C13" s="6"/>
      <c r="E13" s="22" t="n">
        <v>1.4</v>
      </c>
      <c r="F13" s="23" t="n">
        <f aca="false">$B$46*E13</f>
        <v>11110.4174795162</v>
      </c>
      <c r="G13" s="23" t="n">
        <f aca="false">F13*$B$43+$B$38</f>
        <v>16516.3636363636</v>
      </c>
      <c r="H13" s="23" t="n">
        <f aca="false">$B$19-G13</f>
        <v>301.81818181818</v>
      </c>
      <c r="I13" s="24" t="n">
        <f aca="false">IF(G13=0,0,H13/G13)</f>
        <v>0.0182738881549977</v>
      </c>
      <c r="J13" s="25" t="str">
        <f aca="false">IF(H13&gt;=IF($B$7="$",$B$8,$B$9*G13)-0.5,"Green",IF(H13&gt;0,"Amber","Red"))</f>
        <v>Amber</v>
      </c>
    </row>
    <row r="14" customFormat="false" ht="15" hidden="false" customHeight="false" outlineLevel="0" collapsed="false">
      <c r="A14" s="17" t="s">
        <v>1207</v>
      </c>
      <c r="B14" s="26" t="n">
        <v>18500</v>
      </c>
      <c r="C14" s="19" t="s">
        <v>1322</v>
      </c>
    </row>
    <row r="15" customFormat="false" ht="15" hidden="false" customHeight="false" outlineLevel="0" collapsed="false">
      <c r="A15" s="17" t="s">
        <v>1209</v>
      </c>
      <c r="B15" s="26" t="n">
        <v>21000</v>
      </c>
      <c r="E15" s="28" t="s">
        <v>1323</v>
      </c>
    </row>
    <row r="16" customFormat="false" ht="15" hidden="false" customHeight="false" outlineLevel="0" collapsed="false">
      <c r="A16" s="17" t="s">
        <v>1211</v>
      </c>
      <c r="B16" s="26" t="n">
        <v>24000</v>
      </c>
      <c r="E16" s="28" t="s">
        <v>1324</v>
      </c>
    </row>
    <row r="17" customFormat="false" ht="15" hidden="false" customHeight="false" outlineLevel="0" collapsed="false">
      <c r="A17" s="17" t="s">
        <v>1325</v>
      </c>
      <c r="B17" s="18" t="s">
        <v>134</v>
      </c>
      <c r="C17" s="19" t="s">
        <v>1326</v>
      </c>
    </row>
    <row r="18" customFormat="false" ht="15" hidden="false" customHeight="false" outlineLevel="0" collapsed="false">
      <c r="A18" s="17" t="s">
        <v>1327</v>
      </c>
      <c r="B18" s="23" t="n">
        <f aca="false">IF(B6="Conservative",B14,IF(B6="Expected",B15,B16))</f>
        <v>18500</v>
      </c>
    </row>
    <row r="19" customFormat="false" ht="22.35" hidden="false" customHeight="false" outlineLevel="0" collapsed="false">
      <c r="A19" s="17" t="s">
        <v>1328</v>
      </c>
      <c r="B19" s="23" t="n">
        <f aca="false">IF(AND(B4="Yes",B17="Yes"),B18/(1+B5),B18)</f>
        <v>16818.1818181818</v>
      </c>
      <c r="C19" s="19" t="s">
        <v>1329</v>
      </c>
    </row>
    <row r="21" customFormat="false" ht="15" hidden="false" customHeight="false" outlineLevel="0" collapsed="false">
      <c r="A21" s="5" t="s">
        <v>1330</v>
      </c>
      <c r="B21" s="6"/>
      <c r="C21" s="6"/>
    </row>
    <row r="22" customFormat="false" ht="15" hidden="false" customHeight="false" outlineLevel="0" collapsed="false">
      <c r="A22" s="17" t="s">
        <v>1263</v>
      </c>
      <c r="B22" s="27" t="n">
        <v>0.165</v>
      </c>
      <c r="C22" s="19" t="s">
        <v>1331</v>
      </c>
    </row>
    <row r="23" customFormat="false" ht="15" hidden="false" customHeight="false" outlineLevel="0" collapsed="false">
      <c r="A23" s="17" t="s">
        <v>1332</v>
      </c>
      <c r="B23" s="18" t="s">
        <v>134</v>
      </c>
    </row>
    <row r="24" customFormat="false" ht="15" hidden="false" customHeight="false" outlineLevel="0" collapsed="false">
      <c r="A24" s="17" t="s">
        <v>1333</v>
      </c>
      <c r="B24" s="18" t="s">
        <v>134</v>
      </c>
    </row>
    <row r="26" customFormat="false" ht="15" hidden="false" customHeight="false" outlineLevel="0" collapsed="false">
      <c r="A26" s="5" t="s">
        <v>1334</v>
      </c>
      <c r="B26" s="6"/>
      <c r="C26" s="6"/>
    </row>
    <row r="27" customFormat="false" ht="15" hidden="false" customHeight="false" outlineLevel="0" collapsed="false">
      <c r="A27" s="17" t="s">
        <v>1335</v>
      </c>
      <c r="B27" s="26" t="n">
        <v>750</v>
      </c>
    </row>
    <row r="28" customFormat="false" ht="15" hidden="false" customHeight="false" outlineLevel="0" collapsed="false">
      <c r="A28" s="17" t="s">
        <v>1275</v>
      </c>
      <c r="B28" s="26" t="n">
        <v>0</v>
      </c>
    </row>
    <row r="29" customFormat="false" ht="15" hidden="false" customHeight="false" outlineLevel="0" collapsed="false">
      <c r="A29" s="17" t="s">
        <v>1278</v>
      </c>
      <c r="B29" s="26" t="n">
        <v>1500</v>
      </c>
    </row>
    <row r="30" customFormat="false" ht="15" hidden="false" customHeight="false" outlineLevel="0" collapsed="false">
      <c r="A30" s="17" t="s">
        <v>1280</v>
      </c>
      <c r="B30" s="26" t="n">
        <v>0</v>
      </c>
    </row>
    <row r="31" customFormat="false" ht="15" hidden="false" customHeight="false" outlineLevel="0" collapsed="false">
      <c r="A31" s="17" t="s">
        <v>1282</v>
      </c>
      <c r="B31" s="26" t="n">
        <v>0</v>
      </c>
    </row>
    <row r="32" customFormat="false" ht="15" hidden="false" customHeight="false" outlineLevel="0" collapsed="false">
      <c r="A32" s="17" t="s">
        <v>1283</v>
      </c>
      <c r="B32" s="26" t="n">
        <v>200</v>
      </c>
    </row>
    <row r="33" customFormat="false" ht="15" hidden="false" customHeight="false" outlineLevel="0" collapsed="false">
      <c r="A33" s="17" t="s">
        <v>1284</v>
      </c>
      <c r="B33" s="26" t="n">
        <v>0</v>
      </c>
    </row>
    <row r="34" customFormat="false" ht="15" hidden="false" customHeight="false" outlineLevel="0" collapsed="false">
      <c r="A34" s="17" t="s">
        <v>234</v>
      </c>
      <c r="B34" s="26" t="n">
        <v>1480</v>
      </c>
    </row>
    <row r="35" customFormat="false" ht="15" hidden="false" customHeight="false" outlineLevel="0" collapsed="false">
      <c r="A35" s="17" t="s">
        <v>1336</v>
      </c>
      <c r="B35" s="26" t="n">
        <v>0</v>
      </c>
    </row>
    <row r="36" customFormat="false" ht="15" hidden="false" customHeight="false" outlineLevel="0" collapsed="false">
      <c r="A36" s="15" t="s">
        <v>1337</v>
      </c>
      <c r="B36" s="29" t="n">
        <f aca="false">SUM(B27:B35)</f>
        <v>3930</v>
      </c>
    </row>
    <row r="37" customFormat="false" ht="15" hidden="false" customHeight="false" outlineLevel="0" collapsed="false">
      <c r="A37" s="17" t="s">
        <v>1338</v>
      </c>
      <c r="B37" s="18" t="s">
        <v>134</v>
      </c>
      <c r="C37" s="19" t="s">
        <v>1339</v>
      </c>
    </row>
    <row r="38" customFormat="false" ht="15" hidden="false" customHeight="false" outlineLevel="0" collapsed="false">
      <c r="A38" s="17" t="s">
        <v>1340</v>
      </c>
      <c r="B38" s="23" t="n">
        <f aca="false">IF(AND(B4="Yes",B37="Yes"),B36/(1+B5),B36)</f>
        <v>3572.72727272727</v>
      </c>
    </row>
    <row r="40" customFormat="false" ht="15" hidden="false" customHeight="false" outlineLevel="0" collapsed="false">
      <c r="A40" s="5" t="s">
        <v>1341</v>
      </c>
      <c r="B40" s="6"/>
      <c r="C40" s="6"/>
    </row>
    <row r="41" customFormat="false" ht="15" hidden="false" customHeight="false" outlineLevel="0" collapsed="false">
      <c r="A41" s="17" t="s">
        <v>1342</v>
      </c>
      <c r="B41" s="30" t="n">
        <f aca="false">1+IF(B4="Yes",0,IF(B23="Yes",B5,0))</f>
        <v>1</v>
      </c>
      <c r="C41" s="19" t="s">
        <v>1343</v>
      </c>
    </row>
    <row r="42" customFormat="false" ht="15" hidden="false" customHeight="false" outlineLevel="0" collapsed="false">
      <c r="A42" s="17" t="s">
        <v>1344</v>
      </c>
      <c r="B42" s="30" t="n">
        <f aca="false">B22*(1+IF(B4="Yes",0,IF(B24="Yes",B5,0)))</f>
        <v>0.165</v>
      </c>
    </row>
    <row r="43" customFormat="false" ht="15" hidden="false" customHeight="false" outlineLevel="0" collapsed="false">
      <c r="A43" s="15" t="s">
        <v>1345</v>
      </c>
      <c r="B43" s="31" t="n">
        <f aca="false">B41+B42</f>
        <v>1.165</v>
      </c>
    </row>
    <row r="45" customFormat="false" ht="15" hidden="false" customHeight="false" outlineLevel="0" collapsed="false">
      <c r="A45" s="5" t="s">
        <v>866</v>
      </c>
      <c r="B45" s="6"/>
      <c r="C45" s="6"/>
    </row>
    <row r="46" customFormat="false" ht="15" hidden="false" customHeight="false" outlineLevel="0" collapsed="false">
      <c r="A46" s="15" t="s">
        <v>1346</v>
      </c>
      <c r="B46" s="29" t="n">
        <f aca="false">MAX(0,IF(B7="$",(B19-B38-B8)/B43,(B19-B38*(1+B9))/(B43*(1+B9))))</f>
        <v>7936.01248536871</v>
      </c>
      <c r="C46" s="19" t="s">
        <v>1347</v>
      </c>
    </row>
    <row r="47" customFormat="false" ht="15" hidden="false" customHeight="false" outlineLevel="0" collapsed="false">
      <c r="A47" s="15" t="s">
        <v>1348</v>
      </c>
      <c r="B47" s="29" t="n">
        <f aca="false">MAX(0,IF(B7="$",(B19-B38-B10)/B43,(B19-B38*(1+B11))/(B43*(1+B11))))</f>
        <v>10081.9352321498</v>
      </c>
      <c r="C47" s="19" t="s">
        <v>1349</v>
      </c>
    </row>
    <row r="48" customFormat="false" ht="15" hidden="false" customHeight="false" outlineLevel="0" collapsed="false">
      <c r="A48" s="15" t="s">
        <v>1350</v>
      </c>
      <c r="B48" s="29" t="n">
        <f aca="false">MAX(0,(B19-B38)/B43)</f>
        <v>11369.4888802185</v>
      </c>
      <c r="C48" s="19" t="s">
        <v>1351</v>
      </c>
    </row>
    <row r="50" customFormat="false" ht="15" hidden="false" customHeight="false" outlineLevel="0" collapsed="false">
      <c r="A50" s="5" t="s">
        <v>1352</v>
      </c>
      <c r="B50" s="6"/>
      <c r="C50" s="6"/>
    </row>
    <row r="51" customFormat="false" ht="15" hidden="false" customHeight="false" outlineLevel="0" collapsed="false">
      <c r="A51" s="17" t="s">
        <v>1353</v>
      </c>
      <c r="B51" s="23" t="n">
        <f aca="false">B46*(1+IF(B23="Yes",B5,0))+B46*B22*(1+IF(B24="Yes",B5,0))+B36</f>
        <v>14100</v>
      </c>
      <c r="C51" s="19" t="s">
        <v>1354</v>
      </c>
    </row>
    <row r="52" customFormat="false" ht="15" hidden="false" customHeight="false" outlineLevel="0" collapsed="false">
      <c r="A52" s="17" t="s">
        <v>1355</v>
      </c>
      <c r="B52" s="23" t="n">
        <f aca="false">IF(B4="Yes",B46*IF(B23="Yes",B5,0)+B46*B22*IF(B24="Yes",B5,0)+IF(B37="Yes",B36-B36/(1+B5),0),0)</f>
        <v>1281.81818181818</v>
      </c>
    </row>
    <row r="53" customFormat="false" ht="15" hidden="false" customHeight="false" outlineLevel="0" collapsed="false">
      <c r="A53" s="17" t="s">
        <v>1301</v>
      </c>
      <c r="B53" s="23" t="n">
        <f aca="false">B51-B52</f>
        <v>12818.1818181818</v>
      </c>
    </row>
    <row r="54" customFormat="false" ht="15" hidden="false" customHeight="false" outlineLevel="0" collapsed="false">
      <c r="A54" s="15" t="s">
        <v>1302</v>
      </c>
      <c r="B54" s="29" t="n">
        <f aca="false">B19-B53</f>
        <v>4000</v>
      </c>
    </row>
    <row r="55" customFormat="false" ht="15" hidden="false" customHeight="false" outlineLevel="0" collapsed="false">
      <c r="A55" s="17" t="s">
        <v>1303</v>
      </c>
      <c r="B55" s="24" t="n">
        <f aca="false">IF(B53=0,0,B54/B53)</f>
        <v>0.312056737588652</v>
      </c>
    </row>
    <row r="56" customFormat="false" ht="15" hidden="false" customHeight="false" outlineLevel="0" collapsed="false">
      <c r="A56" s="17" t="s">
        <v>1356</v>
      </c>
      <c r="B56" s="25" t="str">
        <f aca="false">IF(B34=0,"Warning: no selling fees entered","Selling fees included")</f>
        <v>Selling fees included</v>
      </c>
    </row>
    <row r="57" customFormat="false" ht="15" hidden="false" customHeight="false" outlineLevel="0" collapsed="false">
      <c r="A57" s="17" t="s">
        <v>1357</v>
      </c>
      <c r="B57" s="25" t="str">
        <f aca="false">IF(B6="Optimistic","Warning: this bid relies on the optimistic resale","Based on "&amp;B6&amp;" resale")</f>
        <v>Based on Conservative resale</v>
      </c>
    </row>
  </sheetData>
  <conditionalFormatting sqref="J5:J13">
    <cfRule type="expression" priority="2" aboveAverage="0" equalAverage="0" bottom="0" percent="0" rank="0" text="" dxfId="5">
      <formula>J5="Green"</formula>
    </cfRule>
    <cfRule type="expression" priority="3" aboveAverage="0" equalAverage="0" bottom="0" percent="0" rank="0" text="" dxfId="6">
      <formula>J5="Amber"</formula>
    </cfRule>
    <cfRule type="expression" priority="4" aboveAverage="0" equalAverage="0" bottom="0" percent="0" rank="0" text="" dxfId="7">
      <formula>J5="Red"</formula>
    </cfRule>
  </conditionalFormatting>
  <dataValidations count="3">
    <dataValidation allowBlank="false" errorStyle="stop" operator="between" showDropDown="false" showErrorMessage="false" showInputMessage="false" sqref="B4 B17 B23:B24 B37" type="list">
      <formula1>"Yes,No"</formula1>
      <formula2>0</formula2>
    </dataValidation>
    <dataValidation allowBlank="false" errorStyle="stop" operator="between" showDropDown="false" showErrorMessage="false" showInputMessage="false" sqref="B6" type="list">
      <formula1>"Conservative,Expected,Optimistic"</formula1>
      <formula2>0</formula2>
    </dataValidation>
    <dataValidation allowBlank="false" errorStyle="stop" operator="between" showDropDown="false" showErrorMessage="false" showInputMessage="false" sqref="B7"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36"/>
    <col collapsed="false" customWidth="true" hidden="false" outlineLevel="0" max="4" min="4" style="0" width="40"/>
    <col collapsed="false" customWidth="true" hidden="false" outlineLevel="0" max="5" min="5" style="0" width="36"/>
    <col collapsed="false" customWidth="true" hidden="false" outlineLevel="0" max="6" min="6" style="0" width="10"/>
    <col collapsed="false" customWidth="true" hidden="false" outlineLevel="0" max="7" min="7" style="0" width="26"/>
  </cols>
  <sheetData>
    <row r="1" customFormat="false" ht="19.7" hidden="false" customHeight="false" outlineLevel="0" collapsed="false">
      <c r="A1" s="1" t="s">
        <v>1358</v>
      </c>
    </row>
    <row r="2" customFormat="false" ht="15" hidden="false" customHeight="false" outlineLevel="0" collapsed="false">
      <c r="A2" s="2" t="s">
        <v>1359</v>
      </c>
    </row>
    <row r="3" customFormat="false" ht="15" hidden="false" customHeight="false" outlineLevel="0" collapsed="false">
      <c r="A3" s="7" t="s">
        <v>1251</v>
      </c>
      <c r="B3" s="7" t="s">
        <v>1360</v>
      </c>
      <c r="C3" s="7" t="s">
        <v>1361</v>
      </c>
      <c r="D3" s="7" t="s">
        <v>1362</v>
      </c>
      <c r="E3" s="7" t="s">
        <v>1363</v>
      </c>
      <c r="F3" s="7" t="s">
        <v>1364</v>
      </c>
      <c r="G3" s="7" t="s">
        <v>1365</v>
      </c>
    </row>
    <row r="4" customFormat="false" ht="23.85" hidden="false" customHeight="false" outlineLevel="0" collapsed="false">
      <c r="A4" s="8" t="s">
        <v>1366</v>
      </c>
      <c r="B4" s="8" t="s">
        <v>1367</v>
      </c>
      <c r="C4" s="8" t="s">
        <v>1368</v>
      </c>
      <c r="D4" s="8" t="s">
        <v>1369</v>
      </c>
      <c r="E4" s="8" t="s">
        <v>1370</v>
      </c>
      <c r="F4" s="8" t="s">
        <v>1236</v>
      </c>
      <c r="G4" s="8" t="s">
        <v>780</v>
      </c>
    </row>
    <row r="5" customFormat="false" ht="15" hidden="false" customHeight="false" outlineLevel="0" collapsed="false">
      <c r="A5" s="9" t="s">
        <v>1371</v>
      </c>
      <c r="B5" s="9" t="s">
        <v>1367</v>
      </c>
      <c r="C5" s="9" t="s">
        <v>1372</v>
      </c>
      <c r="D5" s="9" t="s">
        <v>1373</v>
      </c>
      <c r="E5" s="9" t="s">
        <v>1373</v>
      </c>
      <c r="F5" s="9" t="s">
        <v>1236</v>
      </c>
      <c r="G5" s="9" t="s">
        <v>780</v>
      </c>
    </row>
    <row r="6" customFormat="false" ht="15" hidden="false" customHeight="false" outlineLevel="0" collapsed="false">
      <c r="A6" s="8" t="s">
        <v>1374</v>
      </c>
      <c r="B6" s="8" t="s">
        <v>1367</v>
      </c>
      <c r="C6" s="8" t="s">
        <v>1372</v>
      </c>
      <c r="D6" s="8" t="s">
        <v>1373</v>
      </c>
      <c r="E6" s="8" t="s">
        <v>1373</v>
      </c>
      <c r="F6" s="8" t="s">
        <v>1236</v>
      </c>
      <c r="G6" s="8" t="s">
        <v>780</v>
      </c>
    </row>
    <row r="7" customFormat="false" ht="23.85" hidden="false" customHeight="false" outlineLevel="0" collapsed="false">
      <c r="A7" s="9" t="s">
        <v>1375</v>
      </c>
      <c r="B7" s="9" t="s">
        <v>1367</v>
      </c>
      <c r="C7" s="9" t="s">
        <v>1376</v>
      </c>
      <c r="D7" s="9" t="s">
        <v>1377</v>
      </c>
      <c r="E7" s="9" t="s">
        <v>1378</v>
      </c>
      <c r="F7" s="9" t="s">
        <v>1238</v>
      </c>
      <c r="G7" s="9" t="s">
        <v>1379</v>
      </c>
    </row>
    <row r="8" customFormat="false" ht="23.85" hidden="false" customHeight="false" outlineLevel="0" collapsed="false">
      <c r="A8" s="8" t="s">
        <v>1380</v>
      </c>
      <c r="B8" s="8" t="s">
        <v>1381</v>
      </c>
      <c r="C8" s="8" t="s">
        <v>1382</v>
      </c>
      <c r="D8" s="8" t="s">
        <v>1383</v>
      </c>
      <c r="E8" s="8" t="s">
        <v>1384</v>
      </c>
      <c r="F8" s="8" t="s">
        <v>1236</v>
      </c>
      <c r="G8" s="8" t="s">
        <v>1385</v>
      </c>
    </row>
    <row r="9" customFormat="false" ht="15" hidden="false" customHeight="false" outlineLevel="0" collapsed="false">
      <c r="A9" s="9" t="s">
        <v>1386</v>
      </c>
      <c r="B9" s="9" t="s">
        <v>1387</v>
      </c>
      <c r="C9" s="9" t="s">
        <v>1388</v>
      </c>
      <c r="D9" s="9" t="s">
        <v>1389</v>
      </c>
      <c r="E9" s="9" t="s">
        <v>1390</v>
      </c>
      <c r="F9" s="9" t="s">
        <v>1238</v>
      </c>
      <c r="G9" s="9" t="s">
        <v>1391</v>
      </c>
    </row>
    <row r="10" customFormat="false" ht="23.85" hidden="false" customHeight="false" outlineLevel="0" collapsed="false">
      <c r="A10" s="8" t="s">
        <v>1392</v>
      </c>
      <c r="B10" s="8" t="s">
        <v>1381</v>
      </c>
      <c r="C10" s="8" t="s">
        <v>1393</v>
      </c>
      <c r="D10" s="8" t="s">
        <v>1394</v>
      </c>
      <c r="E10" s="8" t="s">
        <v>1395</v>
      </c>
      <c r="F10" s="8" t="s">
        <v>1238</v>
      </c>
      <c r="G10" s="8" t="s">
        <v>1396</v>
      </c>
    </row>
    <row r="11" customFormat="false" ht="23.85" hidden="false" customHeight="false" outlineLevel="0" collapsed="false">
      <c r="A11" s="9" t="s">
        <v>1397</v>
      </c>
      <c r="B11" s="9" t="s">
        <v>1398</v>
      </c>
      <c r="C11" s="9" t="s">
        <v>1388</v>
      </c>
      <c r="D11" s="9" t="s">
        <v>1399</v>
      </c>
      <c r="E11" s="9" t="s">
        <v>1400</v>
      </c>
      <c r="F11" s="9" t="s">
        <v>1238</v>
      </c>
      <c r="G11" s="9" t="s">
        <v>1401</v>
      </c>
    </row>
    <row r="12" customFormat="false" ht="23.85" hidden="false" customHeight="false" outlineLevel="0" collapsed="false">
      <c r="A12" s="8" t="s">
        <v>1402</v>
      </c>
      <c r="B12" s="8" t="s">
        <v>1403</v>
      </c>
      <c r="C12" s="8" t="s">
        <v>1404</v>
      </c>
      <c r="D12" s="8" t="s">
        <v>1405</v>
      </c>
      <c r="E12" s="8" t="s">
        <v>1406</v>
      </c>
      <c r="F12" s="8" t="s">
        <v>1236</v>
      </c>
      <c r="G12" s="8" t="s">
        <v>1407</v>
      </c>
    </row>
    <row r="13" customFormat="false" ht="23.85" hidden="false" customHeight="false" outlineLevel="0" collapsed="false">
      <c r="A13" s="9" t="s">
        <v>1408</v>
      </c>
      <c r="B13" s="9" t="s">
        <v>1409</v>
      </c>
      <c r="C13" s="9" t="s">
        <v>1410</v>
      </c>
      <c r="D13" s="9" t="s">
        <v>1411</v>
      </c>
      <c r="E13" s="9" t="s">
        <v>1238</v>
      </c>
      <c r="F13" s="9" t="s">
        <v>1238</v>
      </c>
      <c r="G13" s="9" t="s">
        <v>1412</v>
      </c>
    </row>
    <row r="14" customFormat="false" ht="23.85" hidden="false" customHeight="false" outlineLevel="0" collapsed="false">
      <c r="A14" s="8" t="s">
        <v>1385</v>
      </c>
      <c r="B14" s="8" t="s">
        <v>1381</v>
      </c>
      <c r="C14" s="8" t="s">
        <v>1413</v>
      </c>
      <c r="D14" s="8" t="s">
        <v>1414</v>
      </c>
      <c r="E14" s="8" t="s">
        <v>1415</v>
      </c>
      <c r="F14" s="8" t="s">
        <v>1238</v>
      </c>
      <c r="G14" s="8" t="s">
        <v>1416</v>
      </c>
    </row>
    <row r="15" customFormat="false" ht="23.85" hidden="false" customHeight="false" outlineLevel="0" collapsed="false">
      <c r="A15" s="9" t="s">
        <v>1417</v>
      </c>
      <c r="B15" s="9" t="s">
        <v>1418</v>
      </c>
      <c r="C15" s="9" t="s">
        <v>1413</v>
      </c>
      <c r="D15" s="9" t="s">
        <v>1419</v>
      </c>
      <c r="E15" s="9" t="s">
        <v>1420</v>
      </c>
      <c r="F15" s="9" t="s">
        <v>1238</v>
      </c>
      <c r="G15" s="9" t="s">
        <v>1416</v>
      </c>
    </row>
    <row r="16" customFormat="false" ht="23.85" hidden="false" customHeight="false" outlineLevel="0" collapsed="false">
      <c r="A16" s="8" t="s">
        <v>1421</v>
      </c>
      <c r="B16" s="8" t="s">
        <v>246</v>
      </c>
      <c r="C16" s="8" t="s">
        <v>1388</v>
      </c>
      <c r="D16" s="8" t="s">
        <v>1422</v>
      </c>
      <c r="E16" s="8" t="s">
        <v>1400</v>
      </c>
      <c r="F16" s="8" t="s">
        <v>1238</v>
      </c>
      <c r="G16" s="8" t="s">
        <v>1423</v>
      </c>
    </row>
  </sheetData>
  <autoFilter ref="A3:G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8"/>
    <col collapsed="false" customWidth="true" hidden="false" outlineLevel="0" max="3" min="3" style="0" width="24"/>
    <col collapsed="false" customWidth="true" hidden="false" outlineLevel="0" max="4" min="4" style="0" width="55"/>
    <col collapsed="false" customWidth="true" hidden="false" outlineLevel="0" max="5" min="5" style="0" width="32"/>
    <col collapsed="false" customWidth="true" hidden="false" outlineLevel="0" max="6" min="6" style="0" width="30"/>
    <col collapsed="false" customWidth="true" hidden="false" outlineLevel="0" max="7" min="7" style="0" width="14"/>
  </cols>
  <sheetData>
    <row r="1" customFormat="false" ht="19.7" hidden="false" customHeight="false" outlineLevel="0" collapsed="false">
      <c r="A1" s="1" t="s">
        <v>1424</v>
      </c>
    </row>
    <row r="2" customFormat="false" ht="15" hidden="false" customHeight="false" outlineLevel="0" collapsed="false">
      <c r="A2" s="2" t="s">
        <v>1425</v>
      </c>
    </row>
    <row r="3" customFormat="false" ht="23.85" hidden="false" customHeight="false" outlineLevel="0" collapsed="false">
      <c r="A3" s="7" t="s">
        <v>705</v>
      </c>
      <c r="B3" s="7" t="s">
        <v>98</v>
      </c>
      <c r="C3" s="7" t="s">
        <v>1426</v>
      </c>
      <c r="D3" s="7" t="s">
        <v>1427</v>
      </c>
      <c r="E3" s="7" t="s">
        <v>1428</v>
      </c>
      <c r="F3" s="7" t="s">
        <v>1429</v>
      </c>
      <c r="G3" s="7" t="s">
        <v>1430</v>
      </c>
    </row>
    <row r="4" customFormat="false" ht="23.85" hidden="false" customHeight="false" outlineLevel="0" collapsed="false">
      <c r="A4" s="8" t="s">
        <v>1431</v>
      </c>
      <c r="B4" s="8" t="s">
        <v>1432</v>
      </c>
      <c r="C4" s="8" t="s">
        <v>1433</v>
      </c>
      <c r="D4" s="8" t="s">
        <v>1434</v>
      </c>
      <c r="E4" s="8" t="s">
        <v>1151</v>
      </c>
      <c r="F4" s="8" t="s">
        <v>1435</v>
      </c>
      <c r="G4" s="8" t="s">
        <v>1436</v>
      </c>
    </row>
    <row r="5" customFormat="false" ht="15" hidden="false" customHeight="false" outlineLevel="0" collapsed="false">
      <c r="A5" s="9" t="s">
        <v>1437</v>
      </c>
      <c r="B5" s="9" t="s">
        <v>713</v>
      </c>
      <c r="C5" s="9" t="s">
        <v>1438</v>
      </c>
      <c r="D5" s="9" t="s">
        <v>1439</v>
      </c>
      <c r="E5" s="9" t="s">
        <v>1440</v>
      </c>
      <c r="F5" s="9" t="s">
        <v>1441</v>
      </c>
      <c r="G5" s="9" t="s">
        <v>1442</v>
      </c>
    </row>
    <row r="6" customFormat="false" ht="23.85" hidden="false" customHeight="false" outlineLevel="0" collapsed="false">
      <c r="A6" s="8" t="s">
        <v>1443</v>
      </c>
      <c r="B6" s="8" t="s">
        <v>1444</v>
      </c>
      <c r="C6" s="8" t="s">
        <v>1445</v>
      </c>
      <c r="D6" s="8" t="s">
        <v>1446</v>
      </c>
      <c r="E6" s="8" t="s">
        <v>1447</v>
      </c>
      <c r="F6" s="8" t="s">
        <v>1448</v>
      </c>
      <c r="G6" s="8" t="s">
        <v>1449</v>
      </c>
    </row>
    <row r="7" customFormat="false" ht="15" hidden="false" customHeight="false" outlineLevel="0" collapsed="false">
      <c r="A7" s="9" t="s">
        <v>1450</v>
      </c>
      <c r="B7" s="9" t="s">
        <v>1451</v>
      </c>
      <c r="C7" s="9" t="s">
        <v>1452</v>
      </c>
      <c r="D7" s="9" t="s">
        <v>1453</v>
      </c>
      <c r="E7" s="9" t="s">
        <v>1454</v>
      </c>
      <c r="F7" s="9" t="s">
        <v>1455</v>
      </c>
      <c r="G7" s="9" t="s">
        <v>1456</v>
      </c>
    </row>
    <row r="8" customFormat="false" ht="15" hidden="false" customHeight="false" outlineLevel="0" collapsed="false">
      <c r="A8" s="8" t="s">
        <v>1457</v>
      </c>
      <c r="B8" s="8" t="s">
        <v>1458</v>
      </c>
      <c r="C8" s="8" t="s">
        <v>1452</v>
      </c>
      <c r="D8" s="8" t="s">
        <v>1459</v>
      </c>
      <c r="E8" s="8" t="s">
        <v>1460</v>
      </c>
      <c r="F8" s="8" t="s">
        <v>1461</v>
      </c>
      <c r="G8" s="8" t="s">
        <v>1456</v>
      </c>
    </row>
    <row r="9" customFormat="false" ht="23.85" hidden="false" customHeight="false" outlineLevel="0" collapsed="false">
      <c r="A9" s="9" t="s">
        <v>1462</v>
      </c>
      <c r="B9" s="9" t="s">
        <v>1463</v>
      </c>
      <c r="C9" s="9" t="s">
        <v>1464</v>
      </c>
      <c r="D9" s="9" t="s">
        <v>1465</v>
      </c>
      <c r="E9" s="9" t="s">
        <v>1151</v>
      </c>
      <c r="F9" s="9" t="s">
        <v>1466</v>
      </c>
      <c r="G9" s="9" t="s">
        <v>1436</v>
      </c>
    </row>
    <row r="10" customFormat="false" ht="15" hidden="false" customHeight="false" outlineLevel="0" collapsed="false">
      <c r="A10" s="8" t="s">
        <v>1467</v>
      </c>
      <c r="B10" s="8" t="s">
        <v>1468</v>
      </c>
      <c r="C10" s="8" t="s">
        <v>1469</v>
      </c>
      <c r="D10" s="8" t="s">
        <v>1470</v>
      </c>
      <c r="E10" s="8" t="s">
        <v>1151</v>
      </c>
      <c r="F10" s="8" t="s">
        <v>1471</v>
      </c>
      <c r="G10" s="8" t="s">
        <v>1436</v>
      </c>
    </row>
    <row r="11" customFormat="false" ht="23.85" hidden="false" customHeight="false" outlineLevel="0" collapsed="false">
      <c r="A11" s="9" t="s">
        <v>1472</v>
      </c>
      <c r="B11" s="9" t="s">
        <v>1473</v>
      </c>
      <c r="C11" s="9" t="s">
        <v>1474</v>
      </c>
      <c r="D11" s="9" t="s">
        <v>1475</v>
      </c>
      <c r="E11" s="9" t="s">
        <v>1476</v>
      </c>
      <c r="F11" s="9" t="s">
        <v>1477</v>
      </c>
      <c r="G11" s="9" t="s">
        <v>1456</v>
      </c>
    </row>
    <row r="12" customFormat="false" ht="35.05" hidden="false" customHeight="false" outlineLevel="0" collapsed="false">
      <c r="A12" s="8" t="s">
        <v>1478</v>
      </c>
      <c r="B12" s="8" t="s">
        <v>1479</v>
      </c>
      <c r="C12" s="8" t="s">
        <v>1480</v>
      </c>
      <c r="D12" s="8" t="s">
        <v>1481</v>
      </c>
      <c r="E12" s="8" t="s">
        <v>1482</v>
      </c>
      <c r="F12" s="8" t="s">
        <v>1483</v>
      </c>
      <c r="G12" s="8" t="s">
        <v>1456</v>
      </c>
    </row>
    <row r="13" customFormat="false" ht="23.85" hidden="false" customHeight="false" outlineLevel="0" collapsed="false">
      <c r="A13" s="9" t="s">
        <v>1484</v>
      </c>
      <c r="B13" s="9" t="s">
        <v>837</v>
      </c>
      <c r="C13" s="9" t="s">
        <v>1485</v>
      </c>
      <c r="D13" s="9" t="s">
        <v>1486</v>
      </c>
      <c r="E13" s="9" t="s">
        <v>1487</v>
      </c>
      <c r="F13" s="9" t="s">
        <v>1488</v>
      </c>
      <c r="G13" s="9" t="s">
        <v>1456</v>
      </c>
    </row>
    <row r="14" customFormat="false" ht="23.85" hidden="false" customHeight="false" outlineLevel="0" collapsed="false">
      <c r="A14" s="8" t="s">
        <v>1489</v>
      </c>
      <c r="B14" s="8" t="s">
        <v>842</v>
      </c>
      <c r="C14" s="8" t="s">
        <v>1490</v>
      </c>
      <c r="D14" s="8" t="s">
        <v>1491</v>
      </c>
      <c r="E14" s="8" t="s">
        <v>1492</v>
      </c>
      <c r="F14" s="8" t="s">
        <v>1493</v>
      </c>
      <c r="G14" s="8" t="s">
        <v>1456</v>
      </c>
    </row>
    <row r="15" customFormat="false" ht="15" hidden="false" customHeight="false" outlineLevel="0" collapsed="false">
      <c r="A15" s="9" t="s">
        <v>1494</v>
      </c>
      <c r="B15" s="9" t="s">
        <v>681</v>
      </c>
      <c r="C15" s="9" t="s">
        <v>1495</v>
      </c>
      <c r="D15" s="9" t="s">
        <v>1496</v>
      </c>
      <c r="E15" s="9" t="s">
        <v>1497</v>
      </c>
      <c r="F15" s="9" t="s">
        <v>1498</v>
      </c>
      <c r="G15" s="9" t="s">
        <v>1436</v>
      </c>
    </row>
    <row r="16" customFormat="false" ht="15" hidden="false" customHeight="false" outlineLevel="0" collapsed="false">
      <c r="A16" s="8" t="s">
        <v>1499</v>
      </c>
      <c r="B16" s="8" t="s">
        <v>1500</v>
      </c>
      <c r="C16" s="8" t="s">
        <v>1501</v>
      </c>
      <c r="D16" s="8" t="s">
        <v>1502</v>
      </c>
      <c r="E16" s="8" t="s">
        <v>1497</v>
      </c>
      <c r="F16" s="8" t="s">
        <v>1503</v>
      </c>
      <c r="G16" s="8" t="s">
        <v>1436</v>
      </c>
    </row>
    <row r="17" customFormat="false" ht="15" hidden="false" customHeight="false" outlineLevel="0" collapsed="false">
      <c r="A17" s="9" t="s">
        <v>1504</v>
      </c>
      <c r="B17" s="9" t="s">
        <v>1505</v>
      </c>
      <c r="C17" s="9" t="s">
        <v>1506</v>
      </c>
      <c r="D17" s="9" t="s">
        <v>1507</v>
      </c>
      <c r="E17" s="9" t="s">
        <v>1151</v>
      </c>
      <c r="F17" s="9" t="s">
        <v>1508</v>
      </c>
      <c r="G17" s="9" t="s">
        <v>1436</v>
      </c>
    </row>
    <row r="18" customFormat="false" ht="23.85" hidden="false" customHeight="false" outlineLevel="0" collapsed="false">
      <c r="A18" s="8" t="s">
        <v>1509</v>
      </c>
      <c r="B18" s="8" t="s">
        <v>1510</v>
      </c>
      <c r="C18" s="8" t="s">
        <v>1511</v>
      </c>
      <c r="D18" s="8" t="s">
        <v>1512</v>
      </c>
      <c r="E18" s="8" t="s">
        <v>1513</v>
      </c>
      <c r="F18" s="8" t="s">
        <v>1514</v>
      </c>
      <c r="G18" s="8" t="s">
        <v>1515</v>
      </c>
    </row>
    <row r="19" customFormat="false" ht="23.85" hidden="false" customHeight="false" outlineLevel="0" collapsed="false">
      <c r="A19" s="9" t="s">
        <v>1516</v>
      </c>
      <c r="B19" s="9" t="s">
        <v>1517</v>
      </c>
      <c r="C19" s="9" t="s">
        <v>1518</v>
      </c>
      <c r="D19" s="9" t="s">
        <v>1519</v>
      </c>
      <c r="E19" s="9" t="s">
        <v>1151</v>
      </c>
      <c r="F19" s="9" t="s">
        <v>1520</v>
      </c>
      <c r="G19" s="9" t="s">
        <v>1521</v>
      </c>
    </row>
    <row r="21" customFormat="false" ht="135.8" hidden="false" customHeight="false" outlineLevel="0" collapsed="false">
      <c r="A21" s="3" t="s">
        <v>1522</v>
      </c>
      <c r="B21" s="4" t="s">
        <v>1523</v>
      </c>
    </row>
  </sheetData>
  <autoFilter ref="A3:G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24"/>
    <col collapsed="false" customWidth="true" hidden="false" outlineLevel="0" max="4" min="4" style="0" width="16"/>
    <col collapsed="false" customWidth="true" hidden="false" outlineLevel="0" max="5" min="5" style="0" width="9"/>
    <col collapsed="false" customWidth="true" hidden="false" outlineLevel="0" max="6" min="6" style="0" width="26"/>
    <col collapsed="false" customWidth="true" hidden="false" outlineLevel="0" max="7" min="7" style="0" width="45"/>
  </cols>
  <sheetData>
    <row r="1" customFormat="false" ht="19.7" hidden="false" customHeight="false" outlineLevel="0" collapsed="false">
      <c r="A1" s="1" t="s">
        <v>1524</v>
      </c>
    </row>
    <row r="2" customFormat="false" ht="15" hidden="false" customHeight="false" outlineLevel="0" collapsed="false">
      <c r="A2" s="2" t="s">
        <v>1525</v>
      </c>
    </row>
    <row r="3" customFormat="false" ht="15" hidden="false" customHeight="false" outlineLevel="0" collapsed="false">
      <c r="A3" s="7" t="s">
        <v>1526</v>
      </c>
      <c r="B3" s="7" t="s">
        <v>12</v>
      </c>
      <c r="C3" s="7" t="s">
        <v>1527</v>
      </c>
      <c r="D3" s="7" t="s">
        <v>1528</v>
      </c>
      <c r="E3" s="7" t="s">
        <v>1529</v>
      </c>
      <c r="F3" s="7" t="s">
        <v>1530</v>
      </c>
      <c r="G3" s="7" t="s">
        <v>1531</v>
      </c>
    </row>
    <row r="4" customFormat="false" ht="15" hidden="false" customHeight="false" outlineLevel="0" collapsed="false">
      <c r="A4" s="8" t="s">
        <v>1532</v>
      </c>
      <c r="B4" s="8" t="s">
        <v>1533</v>
      </c>
      <c r="C4" s="8" t="s">
        <v>1534</v>
      </c>
      <c r="D4" s="8" t="s">
        <v>1535</v>
      </c>
      <c r="E4" s="8" t="s">
        <v>139</v>
      </c>
      <c r="F4" s="8" t="s">
        <v>1536</v>
      </c>
      <c r="G4" s="8" t="s">
        <v>1537</v>
      </c>
    </row>
    <row r="5" customFormat="false" ht="15" hidden="false" customHeight="false" outlineLevel="0" collapsed="false">
      <c r="A5" s="9" t="s">
        <v>1532</v>
      </c>
      <c r="B5" s="9"/>
      <c r="C5" s="9" t="s">
        <v>1538</v>
      </c>
      <c r="D5" s="9" t="s">
        <v>1539</v>
      </c>
      <c r="E5" s="9" t="s">
        <v>139</v>
      </c>
      <c r="F5" s="9"/>
      <c r="G5" s="9"/>
    </row>
    <row r="6" customFormat="false" ht="15" hidden="false" customHeight="false" outlineLevel="0" collapsed="false">
      <c r="A6" s="8" t="s">
        <v>1532</v>
      </c>
      <c r="B6" s="8"/>
      <c r="C6" s="8" t="s">
        <v>1540</v>
      </c>
      <c r="D6" s="8" t="s">
        <v>1539</v>
      </c>
      <c r="E6" s="8" t="s">
        <v>139</v>
      </c>
      <c r="F6" s="8"/>
      <c r="G6" s="8" t="s">
        <v>1541</v>
      </c>
    </row>
    <row r="7" customFormat="false" ht="15" hidden="false" customHeight="false" outlineLevel="0" collapsed="false">
      <c r="A7" s="9" t="s">
        <v>1532</v>
      </c>
      <c r="B7" s="9"/>
      <c r="C7" s="9" t="s">
        <v>1542</v>
      </c>
      <c r="D7" s="9" t="s">
        <v>1539</v>
      </c>
      <c r="E7" s="9" t="s">
        <v>134</v>
      </c>
      <c r="F7" s="9"/>
      <c r="G7" s="9" t="s">
        <v>1543</v>
      </c>
    </row>
    <row r="8" customFormat="false" ht="15" hidden="false" customHeight="false" outlineLevel="0" collapsed="false">
      <c r="A8" s="8" t="s">
        <v>1532</v>
      </c>
      <c r="B8" s="8"/>
      <c r="C8" s="8" t="s">
        <v>1544</v>
      </c>
      <c r="D8" s="8" t="s">
        <v>1545</v>
      </c>
      <c r="E8" s="8" t="s">
        <v>139</v>
      </c>
      <c r="F8" s="8"/>
      <c r="G8" s="8" t="s">
        <v>1546</v>
      </c>
    </row>
    <row r="9" customFormat="false" ht="15" hidden="false" customHeight="false" outlineLevel="0" collapsed="false">
      <c r="A9" s="9" t="s">
        <v>1532</v>
      </c>
      <c r="B9" s="9"/>
      <c r="C9" s="9" t="s">
        <v>1547</v>
      </c>
      <c r="D9" s="9" t="s">
        <v>1539</v>
      </c>
      <c r="E9" s="9" t="s">
        <v>134</v>
      </c>
      <c r="F9" s="9"/>
      <c r="G9" s="9" t="s">
        <v>1548</v>
      </c>
    </row>
    <row r="10" customFormat="false" ht="15" hidden="false" customHeight="false" outlineLevel="0" collapsed="false">
      <c r="A10" s="8" t="s">
        <v>1532</v>
      </c>
      <c r="B10" s="8"/>
      <c r="C10" s="8" t="s">
        <v>1549</v>
      </c>
      <c r="D10" s="8" t="s">
        <v>1550</v>
      </c>
      <c r="E10" s="8" t="s">
        <v>134</v>
      </c>
      <c r="F10" s="8"/>
      <c r="G10" s="8"/>
    </row>
    <row r="11" customFormat="false" ht="15" hidden="false" customHeight="false" outlineLevel="0" collapsed="false">
      <c r="A11" s="9" t="s">
        <v>1532</v>
      </c>
      <c r="B11" s="9"/>
      <c r="C11" s="9" t="s">
        <v>1551</v>
      </c>
      <c r="D11" s="9" t="s">
        <v>1550</v>
      </c>
      <c r="E11" s="9" t="s">
        <v>134</v>
      </c>
      <c r="F11" s="9"/>
      <c r="G11" s="9"/>
    </row>
    <row r="12" customFormat="false" ht="15" hidden="false" customHeight="false" outlineLevel="0" collapsed="false">
      <c r="A12" s="8" t="s">
        <v>1552</v>
      </c>
      <c r="B12" s="8" t="s">
        <v>1553</v>
      </c>
      <c r="C12" s="8" t="s">
        <v>1534</v>
      </c>
      <c r="D12" s="8" t="s">
        <v>1535</v>
      </c>
      <c r="E12" s="8" t="s">
        <v>139</v>
      </c>
      <c r="F12" s="8" t="s">
        <v>1554</v>
      </c>
      <c r="G12" s="8"/>
    </row>
    <row r="13" customFormat="false" ht="15" hidden="false" customHeight="false" outlineLevel="0" collapsed="false">
      <c r="A13" s="9" t="s">
        <v>1552</v>
      </c>
      <c r="B13" s="9"/>
      <c r="C13" s="9" t="s">
        <v>1555</v>
      </c>
      <c r="D13" s="9" t="s">
        <v>1539</v>
      </c>
      <c r="E13" s="9" t="s">
        <v>134</v>
      </c>
      <c r="F13" s="9"/>
      <c r="G13" s="9"/>
    </row>
    <row r="14" customFormat="false" ht="15" hidden="false" customHeight="false" outlineLevel="0" collapsed="false">
      <c r="A14" s="8" t="s">
        <v>1552</v>
      </c>
      <c r="B14" s="8"/>
      <c r="C14" s="8" t="s">
        <v>1556</v>
      </c>
      <c r="D14" s="8" t="s">
        <v>1535</v>
      </c>
      <c r="E14" s="8" t="s">
        <v>134</v>
      </c>
      <c r="F14" s="8" t="s">
        <v>1557</v>
      </c>
      <c r="G14" s="8"/>
    </row>
    <row r="15" customFormat="false" ht="15" hidden="false" customHeight="false" outlineLevel="0" collapsed="false">
      <c r="A15" s="9" t="s">
        <v>1552</v>
      </c>
      <c r="B15" s="9"/>
      <c r="C15" s="9" t="s">
        <v>1558</v>
      </c>
      <c r="D15" s="9" t="s">
        <v>1559</v>
      </c>
      <c r="E15" s="9" t="s">
        <v>139</v>
      </c>
      <c r="F15" s="9"/>
      <c r="G15" s="9" t="s">
        <v>1560</v>
      </c>
    </row>
    <row r="16" customFormat="false" ht="15" hidden="false" customHeight="false" outlineLevel="0" collapsed="false">
      <c r="A16" s="8" t="s">
        <v>1561</v>
      </c>
      <c r="B16" s="8" t="s">
        <v>1562</v>
      </c>
      <c r="C16" s="8" t="s">
        <v>1563</v>
      </c>
      <c r="D16" s="8" t="s">
        <v>1535</v>
      </c>
      <c r="E16" s="8" t="s">
        <v>139</v>
      </c>
      <c r="F16" s="8" t="s">
        <v>1564</v>
      </c>
      <c r="G16" s="8"/>
    </row>
    <row r="17" customFormat="false" ht="15" hidden="false" customHeight="false" outlineLevel="0" collapsed="false">
      <c r="A17" s="9" t="s">
        <v>1561</v>
      </c>
      <c r="B17" s="9"/>
      <c r="C17" s="9" t="s">
        <v>1565</v>
      </c>
      <c r="D17" s="9" t="s">
        <v>1535</v>
      </c>
      <c r="E17" s="9" t="s">
        <v>139</v>
      </c>
      <c r="F17" s="9" t="s">
        <v>1566</v>
      </c>
      <c r="G17" s="9"/>
    </row>
    <row r="18" customFormat="false" ht="15" hidden="false" customHeight="false" outlineLevel="0" collapsed="false">
      <c r="A18" s="8" t="s">
        <v>1561</v>
      </c>
      <c r="B18" s="8"/>
      <c r="C18" s="8" t="s">
        <v>1567</v>
      </c>
      <c r="D18" s="8" t="s">
        <v>1539</v>
      </c>
      <c r="E18" s="8" t="s">
        <v>139</v>
      </c>
      <c r="F18" s="8"/>
      <c r="G18" s="8" t="s">
        <v>1568</v>
      </c>
    </row>
    <row r="19" customFormat="false" ht="15" hidden="false" customHeight="false" outlineLevel="0" collapsed="false">
      <c r="A19" s="9" t="s">
        <v>1569</v>
      </c>
      <c r="B19" s="9" t="s">
        <v>1570</v>
      </c>
      <c r="C19" s="9" t="s">
        <v>1534</v>
      </c>
      <c r="D19" s="9" t="s">
        <v>1535</v>
      </c>
      <c r="E19" s="9" t="s">
        <v>139</v>
      </c>
      <c r="F19" s="9" t="s">
        <v>1536</v>
      </c>
      <c r="G19" s="9"/>
    </row>
    <row r="20" customFormat="false" ht="15" hidden="false" customHeight="false" outlineLevel="0" collapsed="false">
      <c r="A20" s="8" t="s">
        <v>1569</v>
      </c>
      <c r="B20" s="8"/>
      <c r="C20" s="8" t="s">
        <v>1563</v>
      </c>
      <c r="D20" s="8" t="s">
        <v>1535</v>
      </c>
      <c r="E20" s="8" t="s">
        <v>139</v>
      </c>
      <c r="F20" s="8" t="s">
        <v>1557</v>
      </c>
      <c r="G20" s="8"/>
    </row>
    <row r="21" customFormat="false" ht="15" hidden="false" customHeight="false" outlineLevel="0" collapsed="false">
      <c r="A21" s="9" t="s">
        <v>1569</v>
      </c>
      <c r="B21" s="9"/>
      <c r="C21" s="9" t="s">
        <v>1538</v>
      </c>
      <c r="D21" s="9" t="s">
        <v>1539</v>
      </c>
      <c r="E21" s="9" t="s">
        <v>139</v>
      </c>
      <c r="F21" s="9"/>
      <c r="G21" s="9" t="s">
        <v>1571</v>
      </c>
    </row>
    <row r="22" customFormat="false" ht="15" hidden="false" customHeight="false" outlineLevel="0" collapsed="false">
      <c r="A22" s="8" t="s">
        <v>1569</v>
      </c>
      <c r="B22" s="8"/>
      <c r="C22" s="8" t="s">
        <v>1572</v>
      </c>
      <c r="D22" s="8" t="s">
        <v>1545</v>
      </c>
      <c r="E22" s="8" t="s">
        <v>139</v>
      </c>
      <c r="F22" s="8"/>
      <c r="G22" s="8"/>
    </row>
    <row r="23" customFormat="false" ht="15" hidden="false" customHeight="false" outlineLevel="0" collapsed="false">
      <c r="A23" s="9" t="s">
        <v>1569</v>
      </c>
      <c r="B23" s="9"/>
      <c r="C23" s="9" t="s">
        <v>1573</v>
      </c>
      <c r="D23" s="9" t="s">
        <v>1539</v>
      </c>
      <c r="E23" s="9" t="s">
        <v>139</v>
      </c>
      <c r="F23" s="9"/>
      <c r="G23" s="9" t="s">
        <v>1574</v>
      </c>
    </row>
    <row r="24" customFormat="false" ht="15" hidden="false" customHeight="false" outlineLevel="0" collapsed="false">
      <c r="A24" s="8" t="s">
        <v>1569</v>
      </c>
      <c r="B24" s="8"/>
      <c r="C24" s="8" t="s">
        <v>1575</v>
      </c>
      <c r="D24" s="8" t="s">
        <v>1576</v>
      </c>
      <c r="E24" s="8" t="s">
        <v>134</v>
      </c>
      <c r="F24" s="8"/>
      <c r="G24" s="8"/>
    </row>
    <row r="25" customFormat="false" ht="15" hidden="false" customHeight="false" outlineLevel="0" collapsed="false">
      <c r="A25" s="9" t="s">
        <v>1569</v>
      </c>
      <c r="B25" s="9"/>
      <c r="C25" s="9" t="s">
        <v>1577</v>
      </c>
      <c r="D25" s="9" t="s">
        <v>1578</v>
      </c>
      <c r="E25" s="9" t="s">
        <v>134</v>
      </c>
      <c r="F25" s="9"/>
      <c r="G25" s="9"/>
    </row>
    <row r="26" customFormat="false" ht="15" hidden="false" customHeight="false" outlineLevel="0" collapsed="false">
      <c r="A26" s="8" t="s">
        <v>1569</v>
      </c>
      <c r="B26" s="8"/>
      <c r="C26" s="8" t="s">
        <v>1579</v>
      </c>
      <c r="D26" s="8" t="s">
        <v>1576</v>
      </c>
      <c r="E26" s="8" t="s">
        <v>134</v>
      </c>
      <c r="F26" s="8"/>
      <c r="G26" s="8"/>
    </row>
    <row r="27" customFormat="false" ht="15" hidden="false" customHeight="false" outlineLevel="0" collapsed="false">
      <c r="A27" s="9" t="s">
        <v>1569</v>
      </c>
      <c r="B27" s="9"/>
      <c r="C27" s="9" t="s">
        <v>1580</v>
      </c>
      <c r="D27" s="9" t="s">
        <v>1578</v>
      </c>
      <c r="E27" s="9" t="s">
        <v>134</v>
      </c>
      <c r="F27" s="9"/>
      <c r="G27" s="9"/>
    </row>
    <row r="28" customFormat="false" ht="15" hidden="false" customHeight="false" outlineLevel="0" collapsed="false">
      <c r="A28" s="8" t="s">
        <v>1569</v>
      </c>
      <c r="B28" s="8"/>
      <c r="C28" s="8" t="s">
        <v>1581</v>
      </c>
      <c r="D28" s="8" t="s">
        <v>1576</v>
      </c>
      <c r="E28" s="8" t="s">
        <v>134</v>
      </c>
      <c r="F28" s="8"/>
      <c r="G28" s="8"/>
    </row>
    <row r="29" customFormat="false" ht="15" hidden="false" customHeight="false" outlineLevel="0" collapsed="false">
      <c r="A29" s="9" t="s">
        <v>1569</v>
      </c>
      <c r="B29" s="9"/>
      <c r="C29" s="9" t="s">
        <v>1582</v>
      </c>
      <c r="D29" s="9" t="s">
        <v>1583</v>
      </c>
      <c r="E29" s="9" t="s">
        <v>134</v>
      </c>
      <c r="F29" s="9"/>
      <c r="G29" s="9"/>
    </row>
    <row r="30" customFormat="false" ht="15" hidden="false" customHeight="false" outlineLevel="0" collapsed="false">
      <c r="A30" s="8" t="s">
        <v>1569</v>
      </c>
      <c r="B30" s="8"/>
      <c r="C30" s="8" t="s">
        <v>1584</v>
      </c>
      <c r="D30" s="8" t="s">
        <v>1539</v>
      </c>
      <c r="E30" s="8" t="s">
        <v>139</v>
      </c>
      <c r="F30" s="8"/>
      <c r="G30" s="8" t="s">
        <v>1585</v>
      </c>
    </row>
    <row r="31" customFormat="false" ht="15" hidden="false" customHeight="false" outlineLevel="0" collapsed="false">
      <c r="A31" s="9" t="s">
        <v>1569</v>
      </c>
      <c r="B31" s="9"/>
      <c r="C31" s="9" t="s">
        <v>1586</v>
      </c>
      <c r="D31" s="9" t="s">
        <v>1587</v>
      </c>
      <c r="E31" s="9" t="s">
        <v>134</v>
      </c>
      <c r="F31" s="9"/>
      <c r="G31" s="9"/>
    </row>
    <row r="32" customFormat="false" ht="15" hidden="false" customHeight="false" outlineLevel="0" collapsed="false">
      <c r="A32" s="8" t="s">
        <v>1569</v>
      </c>
      <c r="B32" s="8"/>
      <c r="C32" s="8" t="s">
        <v>1588</v>
      </c>
      <c r="D32" s="8" t="s">
        <v>1589</v>
      </c>
      <c r="E32" s="8" t="s">
        <v>139</v>
      </c>
      <c r="F32" s="8"/>
      <c r="G32" s="8" t="s">
        <v>1590</v>
      </c>
    </row>
    <row r="33" customFormat="false" ht="15" hidden="false" customHeight="false" outlineLevel="0" collapsed="false">
      <c r="A33" s="9" t="s">
        <v>1591</v>
      </c>
      <c r="B33" s="9" t="s">
        <v>1592</v>
      </c>
      <c r="C33" s="9" t="s">
        <v>1534</v>
      </c>
      <c r="D33" s="9" t="s">
        <v>1535</v>
      </c>
      <c r="E33" s="9" t="s">
        <v>139</v>
      </c>
      <c r="F33" s="9" t="s">
        <v>1536</v>
      </c>
      <c r="G33" s="9"/>
    </row>
    <row r="34" customFormat="false" ht="15" hidden="false" customHeight="false" outlineLevel="0" collapsed="false">
      <c r="A34" s="8" t="s">
        <v>1591</v>
      </c>
      <c r="B34" s="8"/>
      <c r="C34" s="8" t="s">
        <v>1593</v>
      </c>
      <c r="D34" s="8" t="s">
        <v>1535</v>
      </c>
      <c r="E34" s="8" t="s">
        <v>134</v>
      </c>
      <c r="F34" s="8" t="s">
        <v>1594</v>
      </c>
      <c r="G34" s="8"/>
    </row>
    <row r="35" customFormat="false" ht="15" hidden="false" customHeight="false" outlineLevel="0" collapsed="false">
      <c r="A35" s="9" t="s">
        <v>1591</v>
      </c>
      <c r="B35" s="9"/>
      <c r="C35" s="9" t="s">
        <v>1538</v>
      </c>
      <c r="D35" s="9" t="s">
        <v>1539</v>
      </c>
      <c r="E35" s="9" t="s">
        <v>139</v>
      </c>
      <c r="F35" s="9"/>
      <c r="G35" s="9"/>
    </row>
    <row r="36" customFormat="false" ht="15" hidden="false" customHeight="false" outlineLevel="0" collapsed="false">
      <c r="A36" s="8" t="s">
        <v>1591</v>
      </c>
      <c r="B36" s="8"/>
      <c r="C36" s="8" t="s">
        <v>1595</v>
      </c>
      <c r="D36" s="8" t="s">
        <v>1578</v>
      </c>
      <c r="E36" s="8" t="s">
        <v>139</v>
      </c>
      <c r="F36" s="8"/>
      <c r="G36" s="8" t="s">
        <v>1596</v>
      </c>
    </row>
    <row r="37" customFormat="false" ht="15" hidden="false" customHeight="false" outlineLevel="0" collapsed="false">
      <c r="A37" s="9" t="s">
        <v>1591</v>
      </c>
      <c r="B37" s="9"/>
      <c r="C37" s="9" t="s">
        <v>1597</v>
      </c>
      <c r="D37" s="9" t="s">
        <v>1589</v>
      </c>
      <c r="E37" s="9" t="s">
        <v>139</v>
      </c>
      <c r="F37" s="9"/>
      <c r="G37" s="9" t="s">
        <v>1598</v>
      </c>
    </row>
    <row r="38" customFormat="false" ht="15" hidden="false" customHeight="false" outlineLevel="0" collapsed="false">
      <c r="A38" s="8" t="s">
        <v>1599</v>
      </c>
      <c r="B38" s="8" t="s">
        <v>1600</v>
      </c>
      <c r="C38" s="8" t="s">
        <v>1534</v>
      </c>
      <c r="D38" s="8" t="s">
        <v>1535</v>
      </c>
      <c r="E38" s="8" t="s">
        <v>139</v>
      </c>
      <c r="F38" s="8" t="s">
        <v>1536</v>
      </c>
      <c r="G38" s="8"/>
    </row>
    <row r="39" customFormat="false" ht="15" hidden="false" customHeight="false" outlineLevel="0" collapsed="false">
      <c r="A39" s="9" t="s">
        <v>1599</v>
      </c>
      <c r="B39" s="9"/>
      <c r="C39" s="9" t="s">
        <v>1601</v>
      </c>
      <c r="D39" s="9" t="s">
        <v>1539</v>
      </c>
      <c r="E39" s="9" t="s">
        <v>139</v>
      </c>
      <c r="F39" s="9" t="s">
        <v>1602</v>
      </c>
      <c r="G39" s="9" t="s">
        <v>1603</v>
      </c>
    </row>
    <row r="40" customFormat="false" ht="15" hidden="false" customHeight="false" outlineLevel="0" collapsed="false">
      <c r="A40" s="8" t="s">
        <v>1599</v>
      </c>
      <c r="B40" s="8"/>
      <c r="C40" s="8" t="s">
        <v>1538</v>
      </c>
      <c r="D40" s="8" t="s">
        <v>1539</v>
      </c>
      <c r="E40" s="8" t="s">
        <v>139</v>
      </c>
      <c r="F40" s="8"/>
      <c r="G40" s="8"/>
    </row>
    <row r="41" customFormat="false" ht="15" hidden="false" customHeight="false" outlineLevel="0" collapsed="false">
      <c r="A41" s="9" t="s">
        <v>1599</v>
      </c>
      <c r="B41" s="9"/>
      <c r="C41" s="9" t="s">
        <v>1604</v>
      </c>
      <c r="D41" s="9" t="s">
        <v>1605</v>
      </c>
      <c r="E41" s="9" t="s">
        <v>139</v>
      </c>
      <c r="F41" s="9"/>
      <c r="G41" s="9" t="s">
        <v>1606</v>
      </c>
    </row>
    <row r="42" customFormat="false" ht="15" hidden="false" customHeight="false" outlineLevel="0" collapsed="false">
      <c r="A42" s="8" t="s">
        <v>1599</v>
      </c>
      <c r="B42" s="8"/>
      <c r="C42" s="8" t="s">
        <v>1607</v>
      </c>
      <c r="D42" s="8" t="s">
        <v>1578</v>
      </c>
      <c r="E42" s="8" t="s">
        <v>134</v>
      </c>
      <c r="F42" s="8"/>
      <c r="G42" s="8" t="s">
        <v>1608</v>
      </c>
    </row>
    <row r="43" customFormat="false" ht="15" hidden="false" customHeight="false" outlineLevel="0" collapsed="false">
      <c r="A43" s="9" t="s">
        <v>1599</v>
      </c>
      <c r="B43" s="9"/>
      <c r="C43" s="9" t="s">
        <v>1609</v>
      </c>
      <c r="D43" s="9" t="s">
        <v>1545</v>
      </c>
      <c r="E43" s="9" t="s">
        <v>139</v>
      </c>
      <c r="F43" s="9"/>
      <c r="G43" s="9"/>
    </row>
    <row r="44" customFormat="false" ht="15" hidden="false" customHeight="false" outlineLevel="0" collapsed="false">
      <c r="A44" s="8" t="s">
        <v>1599</v>
      </c>
      <c r="B44" s="8"/>
      <c r="C44" s="8" t="s">
        <v>1610</v>
      </c>
      <c r="D44" s="8" t="s">
        <v>1539</v>
      </c>
      <c r="E44" s="8" t="s">
        <v>139</v>
      </c>
      <c r="F44" s="8"/>
      <c r="G44" s="8"/>
    </row>
    <row r="45" customFormat="false" ht="15" hidden="false" customHeight="false" outlineLevel="0" collapsed="false">
      <c r="A45" s="9" t="s">
        <v>1599</v>
      </c>
      <c r="B45" s="9"/>
      <c r="C45" s="9" t="s">
        <v>1611</v>
      </c>
      <c r="D45" s="9" t="s">
        <v>1545</v>
      </c>
      <c r="E45" s="9" t="s">
        <v>139</v>
      </c>
      <c r="F45" s="9"/>
      <c r="G45" s="9"/>
    </row>
    <row r="46" customFormat="false" ht="23.85" hidden="false" customHeight="false" outlineLevel="0" collapsed="false">
      <c r="A46" s="8" t="s">
        <v>1612</v>
      </c>
      <c r="B46" s="8" t="s">
        <v>1613</v>
      </c>
      <c r="C46" s="8" t="s">
        <v>1534</v>
      </c>
      <c r="D46" s="8" t="s">
        <v>1535</v>
      </c>
      <c r="E46" s="8" t="s">
        <v>139</v>
      </c>
      <c r="F46" s="8" t="s">
        <v>1536</v>
      </c>
      <c r="G46" s="8"/>
    </row>
    <row r="47" customFormat="false" ht="15" hidden="false" customHeight="false" outlineLevel="0" collapsed="false">
      <c r="A47" s="9" t="s">
        <v>1612</v>
      </c>
      <c r="B47" s="9"/>
      <c r="C47" s="9" t="s">
        <v>1614</v>
      </c>
      <c r="D47" s="9" t="s">
        <v>1535</v>
      </c>
      <c r="E47" s="9" t="s">
        <v>139</v>
      </c>
      <c r="F47" s="9" t="s">
        <v>1615</v>
      </c>
      <c r="G47" s="9"/>
    </row>
    <row r="48" customFormat="false" ht="15" hidden="false" customHeight="false" outlineLevel="0" collapsed="false">
      <c r="A48" s="8" t="s">
        <v>1612</v>
      </c>
      <c r="B48" s="8"/>
      <c r="C48" s="8" t="s">
        <v>1616</v>
      </c>
      <c r="D48" s="8" t="s">
        <v>1539</v>
      </c>
      <c r="E48" s="8" t="s">
        <v>134</v>
      </c>
      <c r="F48" s="8" t="s">
        <v>1617</v>
      </c>
      <c r="G48" s="8" t="s">
        <v>1618</v>
      </c>
    </row>
    <row r="49" customFormat="false" ht="15" hidden="false" customHeight="false" outlineLevel="0" collapsed="false">
      <c r="A49" s="9" t="s">
        <v>1612</v>
      </c>
      <c r="B49" s="9"/>
      <c r="C49" s="9" t="s">
        <v>1619</v>
      </c>
      <c r="D49" s="9" t="s">
        <v>1539</v>
      </c>
      <c r="E49" s="9" t="s">
        <v>134</v>
      </c>
      <c r="F49" s="9"/>
      <c r="G49" s="9"/>
    </row>
    <row r="50" customFormat="false" ht="15" hidden="false" customHeight="false" outlineLevel="0" collapsed="false">
      <c r="A50" s="8" t="s">
        <v>1612</v>
      </c>
      <c r="B50" s="8"/>
      <c r="C50" s="8" t="s">
        <v>1620</v>
      </c>
      <c r="D50" s="8" t="s">
        <v>1621</v>
      </c>
      <c r="E50" s="8" t="s">
        <v>134</v>
      </c>
      <c r="F50" s="8"/>
      <c r="G50" s="8"/>
    </row>
    <row r="51" customFormat="false" ht="15" hidden="false" customHeight="false" outlineLevel="0" collapsed="false">
      <c r="A51" s="9" t="s">
        <v>1612</v>
      </c>
      <c r="B51" s="9"/>
      <c r="C51" s="9" t="s">
        <v>1622</v>
      </c>
      <c r="D51" s="9" t="s">
        <v>1539</v>
      </c>
      <c r="E51" s="9" t="s">
        <v>134</v>
      </c>
      <c r="F51" s="9"/>
      <c r="G51" s="9"/>
    </row>
    <row r="52" customFormat="false" ht="15" hidden="false" customHeight="false" outlineLevel="0" collapsed="false">
      <c r="A52" s="8" t="s">
        <v>1612</v>
      </c>
      <c r="B52" s="8"/>
      <c r="C52" s="8" t="s">
        <v>1623</v>
      </c>
      <c r="D52" s="8" t="s">
        <v>1578</v>
      </c>
      <c r="E52" s="8" t="s">
        <v>134</v>
      </c>
      <c r="F52" s="8"/>
      <c r="G52" s="8" t="s">
        <v>1624</v>
      </c>
    </row>
    <row r="53" customFormat="false" ht="15" hidden="false" customHeight="false" outlineLevel="0" collapsed="false">
      <c r="A53" s="9" t="s">
        <v>1612</v>
      </c>
      <c r="B53" s="9"/>
      <c r="C53" s="9" t="s">
        <v>1625</v>
      </c>
      <c r="D53" s="9" t="s">
        <v>1545</v>
      </c>
      <c r="E53" s="9" t="s">
        <v>134</v>
      </c>
      <c r="F53" s="9"/>
      <c r="G53" s="9"/>
    </row>
    <row r="54" customFormat="false" ht="15" hidden="false" customHeight="false" outlineLevel="0" collapsed="false">
      <c r="A54" s="8" t="s">
        <v>1612</v>
      </c>
      <c r="B54" s="8"/>
      <c r="C54" s="8" t="s">
        <v>1626</v>
      </c>
      <c r="D54" s="8" t="s">
        <v>1539</v>
      </c>
      <c r="E54" s="8" t="s">
        <v>139</v>
      </c>
      <c r="F54" s="8"/>
      <c r="G54" s="8" t="s">
        <v>1627</v>
      </c>
    </row>
    <row r="55" customFormat="false" ht="15" hidden="false" customHeight="false" outlineLevel="0" collapsed="false">
      <c r="A55" s="9" t="s">
        <v>1612</v>
      </c>
      <c r="B55" s="9"/>
      <c r="C55" s="9" t="s">
        <v>1628</v>
      </c>
      <c r="D55" s="9" t="s">
        <v>1539</v>
      </c>
      <c r="E55" s="9" t="s">
        <v>134</v>
      </c>
      <c r="F55" s="9"/>
      <c r="G55" s="9"/>
    </row>
    <row r="56" customFormat="false" ht="15" hidden="false" customHeight="false" outlineLevel="0" collapsed="false">
      <c r="A56" s="8" t="s">
        <v>1612</v>
      </c>
      <c r="B56" s="8"/>
      <c r="C56" s="8" t="s">
        <v>1629</v>
      </c>
      <c r="D56" s="8" t="s">
        <v>1621</v>
      </c>
      <c r="E56" s="8" t="s">
        <v>134</v>
      </c>
      <c r="F56" s="8"/>
      <c r="G56" s="8"/>
    </row>
    <row r="57" customFormat="false" ht="15" hidden="false" customHeight="false" outlineLevel="0" collapsed="false">
      <c r="A57" s="9" t="s">
        <v>1630</v>
      </c>
      <c r="B57" s="9" t="s">
        <v>1631</v>
      </c>
      <c r="C57" s="9" t="s">
        <v>1534</v>
      </c>
      <c r="D57" s="9" t="s">
        <v>1535</v>
      </c>
      <c r="E57" s="9" t="s">
        <v>139</v>
      </c>
      <c r="F57" s="9" t="s">
        <v>1536</v>
      </c>
      <c r="G57" s="9"/>
    </row>
    <row r="58" customFormat="false" ht="15" hidden="false" customHeight="false" outlineLevel="0" collapsed="false">
      <c r="A58" s="8" t="s">
        <v>1630</v>
      </c>
      <c r="B58" s="8"/>
      <c r="C58" s="8" t="s">
        <v>1563</v>
      </c>
      <c r="D58" s="8" t="s">
        <v>1535</v>
      </c>
      <c r="E58" s="8" t="s">
        <v>139</v>
      </c>
      <c r="F58" s="8" t="s">
        <v>1557</v>
      </c>
      <c r="G58" s="8"/>
    </row>
    <row r="59" customFormat="false" ht="15" hidden="false" customHeight="false" outlineLevel="0" collapsed="false">
      <c r="A59" s="9" t="s">
        <v>1630</v>
      </c>
      <c r="B59" s="9"/>
      <c r="C59" s="9" t="s">
        <v>1632</v>
      </c>
      <c r="D59" s="9" t="s">
        <v>1535</v>
      </c>
      <c r="E59" s="9" t="s">
        <v>139</v>
      </c>
      <c r="F59" s="9" t="s">
        <v>1633</v>
      </c>
      <c r="G59" s="9"/>
    </row>
    <row r="60" customFormat="false" ht="15" hidden="false" customHeight="false" outlineLevel="0" collapsed="false">
      <c r="A60" s="8" t="s">
        <v>1630</v>
      </c>
      <c r="B60" s="8"/>
      <c r="C60" s="8" t="s">
        <v>1634</v>
      </c>
      <c r="D60" s="8" t="s">
        <v>1535</v>
      </c>
      <c r="E60" s="8" t="s">
        <v>139</v>
      </c>
      <c r="F60" s="8" t="s">
        <v>1635</v>
      </c>
      <c r="G60" s="8"/>
    </row>
    <row r="61" customFormat="false" ht="15" hidden="false" customHeight="false" outlineLevel="0" collapsed="false">
      <c r="A61" s="9" t="s">
        <v>1630</v>
      </c>
      <c r="B61" s="9"/>
      <c r="C61" s="9" t="s">
        <v>1636</v>
      </c>
      <c r="D61" s="9" t="s">
        <v>1535</v>
      </c>
      <c r="E61" s="9" t="s">
        <v>139</v>
      </c>
      <c r="F61" s="9" t="s">
        <v>1637</v>
      </c>
      <c r="G61" s="9"/>
    </row>
    <row r="62" customFormat="false" ht="15" hidden="false" customHeight="false" outlineLevel="0" collapsed="false">
      <c r="A62" s="8" t="s">
        <v>1630</v>
      </c>
      <c r="B62" s="8"/>
      <c r="C62" s="8" t="s">
        <v>1638</v>
      </c>
      <c r="D62" s="8" t="s">
        <v>1539</v>
      </c>
      <c r="E62" s="8" t="s">
        <v>139</v>
      </c>
      <c r="F62" s="8"/>
      <c r="G62" s="8" t="s">
        <v>1639</v>
      </c>
    </row>
    <row r="63" customFormat="false" ht="15" hidden="false" customHeight="false" outlineLevel="0" collapsed="false">
      <c r="A63" s="9" t="s">
        <v>1630</v>
      </c>
      <c r="B63" s="9"/>
      <c r="C63" s="9" t="s">
        <v>1640</v>
      </c>
      <c r="D63" s="9" t="s">
        <v>1539</v>
      </c>
      <c r="E63" s="9" t="s">
        <v>134</v>
      </c>
      <c r="F63" s="9"/>
      <c r="G63" s="9" t="s">
        <v>1641</v>
      </c>
    </row>
    <row r="64" customFormat="false" ht="23.85" hidden="false" customHeight="false" outlineLevel="0" collapsed="false">
      <c r="A64" s="8" t="s">
        <v>1630</v>
      </c>
      <c r="B64" s="8"/>
      <c r="C64" s="8" t="s">
        <v>1642</v>
      </c>
      <c r="D64" s="8" t="s">
        <v>1539</v>
      </c>
      <c r="E64" s="8" t="s">
        <v>139</v>
      </c>
      <c r="F64" s="8"/>
      <c r="G64" s="8" t="s">
        <v>1643</v>
      </c>
    </row>
    <row r="65" customFormat="false" ht="15" hidden="false" customHeight="false" outlineLevel="0" collapsed="false">
      <c r="A65" s="9" t="s">
        <v>1630</v>
      </c>
      <c r="B65" s="9"/>
      <c r="C65" s="9" t="s">
        <v>1644</v>
      </c>
      <c r="D65" s="9" t="s">
        <v>1559</v>
      </c>
      <c r="E65" s="9" t="s">
        <v>139</v>
      </c>
      <c r="F65" s="9"/>
      <c r="G65" s="9"/>
    </row>
    <row r="66" customFormat="false" ht="15" hidden="false" customHeight="false" outlineLevel="0" collapsed="false">
      <c r="A66" s="8" t="s">
        <v>1630</v>
      </c>
      <c r="B66" s="8"/>
      <c r="C66" s="8" t="s">
        <v>1645</v>
      </c>
      <c r="D66" s="8" t="s">
        <v>1578</v>
      </c>
      <c r="E66" s="8" t="s">
        <v>134</v>
      </c>
      <c r="F66" s="8"/>
      <c r="G66" s="8" t="s">
        <v>1646</v>
      </c>
    </row>
    <row r="67" customFormat="false" ht="23.85" hidden="false" customHeight="false" outlineLevel="0" collapsed="false">
      <c r="A67" s="9" t="s">
        <v>1647</v>
      </c>
      <c r="B67" s="9" t="s">
        <v>1648</v>
      </c>
      <c r="C67" s="9" t="s">
        <v>1534</v>
      </c>
      <c r="D67" s="9" t="s">
        <v>1535</v>
      </c>
      <c r="E67" s="9" t="s">
        <v>139</v>
      </c>
      <c r="F67" s="9" t="s">
        <v>1536</v>
      </c>
      <c r="G67" s="9"/>
    </row>
    <row r="68" customFormat="false" ht="15" hidden="false" customHeight="false" outlineLevel="0" collapsed="false">
      <c r="A68" s="8" t="s">
        <v>1647</v>
      </c>
      <c r="B68" s="8"/>
      <c r="C68" s="8" t="s">
        <v>1632</v>
      </c>
      <c r="D68" s="8" t="s">
        <v>1535</v>
      </c>
      <c r="E68" s="8" t="s">
        <v>139</v>
      </c>
      <c r="F68" s="8" t="s">
        <v>1633</v>
      </c>
      <c r="G68" s="8"/>
    </row>
    <row r="69" customFormat="false" ht="15" hidden="false" customHeight="false" outlineLevel="0" collapsed="false">
      <c r="A69" s="9" t="s">
        <v>1647</v>
      </c>
      <c r="B69" s="9"/>
      <c r="C69" s="9" t="s">
        <v>1649</v>
      </c>
      <c r="D69" s="9" t="s">
        <v>1539</v>
      </c>
      <c r="E69" s="9" t="s">
        <v>139</v>
      </c>
      <c r="F69" s="9" t="s">
        <v>1650</v>
      </c>
      <c r="G69" s="9"/>
    </row>
    <row r="70" customFormat="false" ht="15" hidden="false" customHeight="false" outlineLevel="0" collapsed="false">
      <c r="A70" s="8" t="s">
        <v>1647</v>
      </c>
      <c r="B70" s="8"/>
      <c r="C70" s="8" t="s">
        <v>1619</v>
      </c>
      <c r="D70" s="8" t="s">
        <v>1539</v>
      </c>
      <c r="E70" s="8" t="s">
        <v>139</v>
      </c>
      <c r="F70" s="8"/>
      <c r="G70" s="8"/>
    </row>
    <row r="71" customFormat="false" ht="15" hidden="false" customHeight="false" outlineLevel="0" collapsed="false">
      <c r="A71" s="9" t="s">
        <v>1647</v>
      </c>
      <c r="B71" s="9"/>
      <c r="C71" s="9" t="s">
        <v>1651</v>
      </c>
      <c r="D71" s="9" t="s">
        <v>1539</v>
      </c>
      <c r="E71" s="9" t="s">
        <v>134</v>
      </c>
      <c r="F71" s="9"/>
      <c r="G71" s="9"/>
    </row>
    <row r="72" customFormat="false" ht="15" hidden="false" customHeight="false" outlineLevel="0" collapsed="false">
      <c r="A72" s="8" t="s">
        <v>1647</v>
      </c>
      <c r="B72" s="8"/>
      <c r="C72" s="8" t="s">
        <v>1616</v>
      </c>
      <c r="D72" s="8" t="s">
        <v>1539</v>
      </c>
      <c r="E72" s="8" t="s">
        <v>134</v>
      </c>
      <c r="F72" s="8"/>
      <c r="G72" s="8"/>
    </row>
    <row r="73" customFormat="false" ht="15" hidden="false" customHeight="false" outlineLevel="0" collapsed="false">
      <c r="A73" s="9" t="s">
        <v>1647</v>
      </c>
      <c r="B73" s="9"/>
      <c r="C73" s="9" t="s">
        <v>1622</v>
      </c>
      <c r="D73" s="9" t="s">
        <v>1539</v>
      </c>
      <c r="E73" s="9" t="s">
        <v>134</v>
      </c>
      <c r="F73" s="9"/>
      <c r="G73" s="9"/>
    </row>
    <row r="74" customFormat="false" ht="15" hidden="false" customHeight="false" outlineLevel="0" collapsed="false">
      <c r="A74" s="8" t="s">
        <v>1647</v>
      </c>
      <c r="B74" s="8"/>
      <c r="C74" s="8" t="s">
        <v>1652</v>
      </c>
      <c r="D74" s="8" t="s">
        <v>1550</v>
      </c>
      <c r="E74" s="8" t="s">
        <v>134</v>
      </c>
      <c r="F74" s="8"/>
      <c r="G74" s="8"/>
    </row>
    <row r="75" customFormat="false" ht="15" hidden="false" customHeight="false" outlineLevel="0" collapsed="false">
      <c r="A75" s="9" t="s">
        <v>1647</v>
      </c>
      <c r="B75" s="9"/>
      <c r="C75" s="9" t="s">
        <v>1653</v>
      </c>
      <c r="D75" s="9" t="s">
        <v>1550</v>
      </c>
      <c r="E75" s="9" t="s">
        <v>134</v>
      </c>
      <c r="F75" s="9"/>
      <c r="G75" s="9"/>
    </row>
    <row r="76" customFormat="false" ht="15" hidden="false" customHeight="false" outlineLevel="0" collapsed="false">
      <c r="A76" s="8" t="s">
        <v>1647</v>
      </c>
      <c r="B76" s="8"/>
      <c r="C76" s="8" t="s">
        <v>1620</v>
      </c>
      <c r="D76" s="8" t="s">
        <v>1621</v>
      </c>
      <c r="E76" s="8" t="s">
        <v>134</v>
      </c>
      <c r="F76" s="8"/>
      <c r="G76" s="8"/>
    </row>
    <row r="77" customFormat="false" ht="15" hidden="false" customHeight="false" outlineLevel="0" collapsed="false">
      <c r="A77" s="9" t="s">
        <v>1647</v>
      </c>
      <c r="B77" s="9"/>
      <c r="C77" s="9" t="s">
        <v>1654</v>
      </c>
      <c r="D77" s="9" t="s">
        <v>1576</v>
      </c>
      <c r="E77" s="9" t="s">
        <v>134</v>
      </c>
      <c r="F77" s="9"/>
      <c r="G77" s="9" t="s">
        <v>1655</v>
      </c>
    </row>
    <row r="78" customFormat="false" ht="15" hidden="false" customHeight="false" outlineLevel="0" collapsed="false">
      <c r="A78" s="8" t="s">
        <v>1647</v>
      </c>
      <c r="B78" s="8"/>
      <c r="C78" s="8" t="s">
        <v>1656</v>
      </c>
      <c r="D78" s="8" t="s">
        <v>1545</v>
      </c>
      <c r="E78" s="8" t="s">
        <v>134</v>
      </c>
      <c r="F78" s="8"/>
      <c r="G78" s="8"/>
    </row>
    <row r="79" customFormat="false" ht="15" hidden="false" customHeight="false" outlineLevel="0" collapsed="false">
      <c r="A79" s="9" t="s">
        <v>1647</v>
      </c>
      <c r="B79" s="9"/>
      <c r="C79" s="9" t="s">
        <v>1657</v>
      </c>
      <c r="D79" s="9" t="s">
        <v>1589</v>
      </c>
      <c r="E79" s="9" t="s">
        <v>139</v>
      </c>
      <c r="F79" s="9"/>
      <c r="G79" s="9" t="s">
        <v>1658</v>
      </c>
    </row>
    <row r="80" customFormat="false" ht="23.85" hidden="false" customHeight="false" outlineLevel="0" collapsed="false">
      <c r="A80" s="8" t="s">
        <v>1659</v>
      </c>
      <c r="B80" s="8" t="s">
        <v>1660</v>
      </c>
      <c r="C80" s="8" t="s">
        <v>1534</v>
      </c>
      <c r="D80" s="8" t="s">
        <v>1535</v>
      </c>
      <c r="E80" s="8" t="s">
        <v>139</v>
      </c>
      <c r="F80" s="8" t="s">
        <v>1536</v>
      </c>
      <c r="G80" s="8"/>
    </row>
    <row r="81" customFormat="false" ht="15" hidden="false" customHeight="false" outlineLevel="0" collapsed="false">
      <c r="A81" s="9" t="s">
        <v>1659</v>
      </c>
      <c r="B81" s="9"/>
      <c r="C81" s="9" t="s">
        <v>1661</v>
      </c>
      <c r="D81" s="9" t="s">
        <v>1535</v>
      </c>
      <c r="E81" s="9" t="s">
        <v>139</v>
      </c>
      <c r="F81" s="9" t="s">
        <v>1662</v>
      </c>
      <c r="G81" s="9"/>
    </row>
    <row r="82" customFormat="false" ht="15" hidden="false" customHeight="false" outlineLevel="0" collapsed="false">
      <c r="A82" s="8" t="s">
        <v>1659</v>
      </c>
      <c r="B82" s="8"/>
      <c r="C82" s="8" t="s">
        <v>1663</v>
      </c>
      <c r="D82" s="8" t="s">
        <v>1539</v>
      </c>
      <c r="E82" s="8" t="s">
        <v>139</v>
      </c>
      <c r="F82" s="8"/>
      <c r="G82" s="8"/>
    </row>
    <row r="83" customFormat="false" ht="15" hidden="false" customHeight="false" outlineLevel="0" collapsed="false">
      <c r="A83" s="9" t="s">
        <v>1659</v>
      </c>
      <c r="B83" s="9"/>
      <c r="C83" s="9" t="s">
        <v>1664</v>
      </c>
      <c r="D83" s="9" t="s">
        <v>1559</v>
      </c>
      <c r="E83" s="9" t="s">
        <v>139</v>
      </c>
      <c r="F83" s="9"/>
      <c r="G83" s="9"/>
    </row>
    <row r="84" customFormat="false" ht="15" hidden="false" customHeight="false" outlineLevel="0" collapsed="false">
      <c r="A84" s="8" t="s">
        <v>1665</v>
      </c>
      <c r="B84" s="8" t="s">
        <v>1666</v>
      </c>
      <c r="C84" s="8" t="s">
        <v>1534</v>
      </c>
      <c r="D84" s="8" t="s">
        <v>1535</v>
      </c>
      <c r="E84" s="8" t="s">
        <v>139</v>
      </c>
      <c r="F84" s="8" t="s">
        <v>1536</v>
      </c>
      <c r="G84" s="8"/>
    </row>
    <row r="85" customFormat="false" ht="15" hidden="false" customHeight="false" outlineLevel="0" collapsed="false">
      <c r="A85" s="9" t="s">
        <v>1665</v>
      </c>
      <c r="B85" s="9"/>
      <c r="C85" s="9" t="s">
        <v>1667</v>
      </c>
      <c r="D85" s="9" t="s">
        <v>1535</v>
      </c>
      <c r="E85" s="9" t="s">
        <v>134</v>
      </c>
      <c r="F85" s="9" t="s">
        <v>1594</v>
      </c>
      <c r="G85" s="9"/>
    </row>
    <row r="86" customFormat="false" ht="15" hidden="false" customHeight="false" outlineLevel="0" collapsed="false">
      <c r="A86" s="8" t="s">
        <v>1665</v>
      </c>
      <c r="B86" s="8"/>
      <c r="C86" s="8" t="s">
        <v>1668</v>
      </c>
      <c r="D86" s="8" t="s">
        <v>1539</v>
      </c>
      <c r="E86" s="8" t="s">
        <v>134</v>
      </c>
      <c r="F86" s="8"/>
      <c r="G86" s="8"/>
    </row>
    <row r="87" customFormat="false" ht="15" hidden="false" customHeight="false" outlineLevel="0" collapsed="false">
      <c r="A87" s="9" t="s">
        <v>1665</v>
      </c>
      <c r="B87" s="9"/>
      <c r="C87" s="9" t="s">
        <v>1669</v>
      </c>
      <c r="D87" s="9" t="s">
        <v>1539</v>
      </c>
      <c r="E87" s="9" t="s">
        <v>134</v>
      </c>
      <c r="F87" s="9"/>
      <c r="G87" s="9"/>
    </row>
    <row r="88" customFormat="false" ht="15" hidden="false" customHeight="false" outlineLevel="0" collapsed="false">
      <c r="A88" s="8" t="s">
        <v>1665</v>
      </c>
      <c r="B88" s="8"/>
      <c r="C88" s="8" t="s">
        <v>1670</v>
      </c>
      <c r="D88" s="8" t="s">
        <v>1539</v>
      </c>
      <c r="E88" s="8" t="s">
        <v>134</v>
      </c>
      <c r="F88" s="8"/>
      <c r="G88" s="8"/>
    </row>
    <row r="89" customFormat="false" ht="15" hidden="false" customHeight="false" outlineLevel="0" collapsed="false">
      <c r="A89" s="9" t="s">
        <v>1665</v>
      </c>
      <c r="B89" s="9"/>
      <c r="C89" s="9" t="s">
        <v>1671</v>
      </c>
      <c r="D89" s="9" t="s">
        <v>1589</v>
      </c>
      <c r="E89" s="9" t="s">
        <v>139</v>
      </c>
      <c r="F89" s="9"/>
      <c r="G89" s="9"/>
    </row>
    <row r="90" customFormat="false" ht="15" hidden="false" customHeight="false" outlineLevel="0" collapsed="false">
      <c r="A90" s="8" t="s">
        <v>1665</v>
      </c>
      <c r="B90" s="8"/>
      <c r="C90" s="8" t="s">
        <v>1672</v>
      </c>
      <c r="D90" s="8" t="s">
        <v>1576</v>
      </c>
      <c r="E90" s="8" t="s">
        <v>134</v>
      </c>
      <c r="F90" s="8"/>
      <c r="G90" s="8"/>
    </row>
    <row r="91" customFormat="false" ht="15" hidden="false" customHeight="false" outlineLevel="0" collapsed="false">
      <c r="A91" s="9" t="s">
        <v>1665</v>
      </c>
      <c r="B91" s="9"/>
      <c r="C91" s="9" t="s">
        <v>1673</v>
      </c>
      <c r="D91" s="9" t="s">
        <v>1539</v>
      </c>
      <c r="E91" s="9" t="s">
        <v>134</v>
      </c>
      <c r="F91" s="9"/>
      <c r="G91" s="9"/>
    </row>
    <row r="92" customFormat="false" ht="15" hidden="false" customHeight="false" outlineLevel="0" collapsed="false">
      <c r="A92" s="8" t="s">
        <v>1665</v>
      </c>
      <c r="B92" s="8"/>
      <c r="C92" s="8" t="s">
        <v>1674</v>
      </c>
      <c r="D92" s="8" t="s">
        <v>1621</v>
      </c>
      <c r="E92" s="8" t="s">
        <v>134</v>
      </c>
      <c r="F92" s="8"/>
      <c r="G92" s="8"/>
    </row>
    <row r="93" customFormat="false" ht="15" hidden="false" customHeight="false" outlineLevel="0" collapsed="false">
      <c r="A93" s="9" t="s">
        <v>1665</v>
      </c>
      <c r="B93" s="9"/>
      <c r="C93" s="9" t="s">
        <v>1675</v>
      </c>
      <c r="D93" s="9" t="s">
        <v>1676</v>
      </c>
      <c r="E93" s="9" t="s">
        <v>134</v>
      </c>
      <c r="F93" s="9"/>
      <c r="G93" s="9" t="s">
        <v>1677</v>
      </c>
    </row>
    <row r="94" customFormat="false" ht="15" hidden="false" customHeight="false" outlineLevel="0" collapsed="false">
      <c r="A94" s="8" t="s">
        <v>1678</v>
      </c>
      <c r="B94" s="8" t="s">
        <v>1679</v>
      </c>
      <c r="C94" s="8" t="s">
        <v>1534</v>
      </c>
      <c r="D94" s="8" t="s">
        <v>1535</v>
      </c>
      <c r="E94" s="8" t="s">
        <v>139</v>
      </c>
      <c r="F94" s="8" t="s">
        <v>1536</v>
      </c>
      <c r="G94" s="8"/>
    </row>
    <row r="95" customFormat="false" ht="15" hidden="false" customHeight="false" outlineLevel="0" collapsed="false">
      <c r="A95" s="9" t="s">
        <v>1678</v>
      </c>
      <c r="B95" s="9"/>
      <c r="C95" s="9" t="s">
        <v>1680</v>
      </c>
      <c r="D95" s="9" t="s">
        <v>1535</v>
      </c>
      <c r="E95" s="9" t="s">
        <v>139</v>
      </c>
      <c r="F95" s="9" t="s">
        <v>1681</v>
      </c>
      <c r="G95" s="9"/>
    </row>
    <row r="96" customFormat="false" ht="15" hidden="false" customHeight="false" outlineLevel="0" collapsed="false">
      <c r="A96" s="8" t="s">
        <v>1678</v>
      </c>
      <c r="B96" s="8"/>
      <c r="C96" s="8" t="s">
        <v>1682</v>
      </c>
      <c r="D96" s="8" t="s">
        <v>1539</v>
      </c>
      <c r="E96" s="8" t="s">
        <v>139</v>
      </c>
      <c r="F96" s="8"/>
      <c r="G96" s="8"/>
    </row>
    <row r="97" customFormat="false" ht="15" hidden="false" customHeight="false" outlineLevel="0" collapsed="false">
      <c r="A97" s="9" t="s">
        <v>1683</v>
      </c>
      <c r="B97" s="9" t="s">
        <v>1684</v>
      </c>
      <c r="C97" s="9" t="s">
        <v>1534</v>
      </c>
      <c r="D97" s="9" t="s">
        <v>1535</v>
      </c>
      <c r="E97" s="9" t="s">
        <v>139</v>
      </c>
      <c r="F97" s="9" t="s">
        <v>1536</v>
      </c>
      <c r="G97" s="9"/>
    </row>
    <row r="98" customFormat="false" ht="15" hidden="false" customHeight="false" outlineLevel="0" collapsed="false">
      <c r="A98" s="8" t="s">
        <v>1683</v>
      </c>
      <c r="B98" s="8"/>
      <c r="C98" s="8" t="s">
        <v>1685</v>
      </c>
      <c r="D98" s="8" t="s">
        <v>1535</v>
      </c>
      <c r="E98" s="8" t="s">
        <v>139</v>
      </c>
      <c r="F98" s="8" t="s">
        <v>1686</v>
      </c>
      <c r="G98" s="8"/>
    </row>
    <row r="99" customFormat="false" ht="15" hidden="false" customHeight="false" outlineLevel="0" collapsed="false">
      <c r="A99" s="9" t="s">
        <v>1683</v>
      </c>
      <c r="B99" s="9"/>
      <c r="C99" s="9" t="s">
        <v>1661</v>
      </c>
      <c r="D99" s="9" t="s">
        <v>1535</v>
      </c>
      <c r="E99" s="9" t="s">
        <v>139</v>
      </c>
      <c r="F99" s="9" t="s">
        <v>1662</v>
      </c>
      <c r="G99" s="9"/>
    </row>
    <row r="100" customFormat="false" ht="15" hidden="false" customHeight="false" outlineLevel="0" collapsed="false">
      <c r="A100" s="8" t="s">
        <v>1683</v>
      </c>
      <c r="B100" s="8"/>
      <c r="C100" s="8" t="s">
        <v>1687</v>
      </c>
      <c r="D100" s="8" t="s">
        <v>1539</v>
      </c>
      <c r="E100" s="8" t="s">
        <v>139</v>
      </c>
      <c r="F100" s="8"/>
      <c r="G100" s="8" t="s">
        <v>1688</v>
      </c>
    </row>
    <row r="101" customFormat="false" ht="15" hidden="false" customHeight="false" outlineLevel="0" collapsed="false">
      <c r="A101" s="9" t="s">
        <v>1683</v>
      </c>
      <c r="B101" s="9"/>
      <c r="C101" s="9" t="s">
        <v>1680</v>
      </c>
      <c r="D101" s="9" t="s">
        <v>1535</v>
      </c>
      <c r="E101" s="9" t="s">
        <v>134</v>
      </c>
      <c r="F101" s="9" t="s">
        <v>1681</v>
      </c>
      <c r="G101" s="9"/>
    </row>
    <row r="102" customFormat="false" ht="15" hidden="false" customHeight="false" outlineLevel="0" collapsed="false">
      <c r="A102" s="8" t="s">
        <v>1683</v>
      </c>
      <c r="B102" s="8"/>
      <c r="C102" s="8" t="s">
        <v>1667</v>
      </c>
      <c r="D102" s="8" t="s">
        <v>1535</v>
      </c>
      <c r="E102" s="8" t="s">
        <v>134</v>
      </c>
      <c r="F102" s="8" t="s">
        <v>1594</v>
      </c>
      <c r="G102" s="8"/>
    </row>
    <row r="103" customFormat="false" ht="15" hidden="false" customHeight="false" outlineLevel="0" collapsed="false">
      <c r="A103" s="9" t="s">
        <v>1683</v>
      </c>
      <c r="B103" s="9"/>
      <c r="C103" s="9" t="s">
        <v>1668</v>
      </c>
      <c r="D103" s="9" t="s">
        <v>1539</v>
      </c>
      <c r="E103" s="9" t="s">
        <v>134</v>
      </c>
      <c r="F103" s="9"/>
      <c r="G103" s="9"/>
    </row>
    <row r="104" customFormat="false" ht="15" hidden="false" customHeight="false" outlineLevel="0" collapsed="false">
      <c r="A104" s="8" t="s">
        <v>1683</v>
      </c>
      <c r="B104" s="8"/>
      <c r="C104" s="8" t="s">
        <v>1669</v>
      </c>
      <c r="D104" s="8" t="s">
        <v>1539</v>
      </c>
      <c r="E104" s="8" t="s">
        <v>134</v>
      </c>
      <c r="F104" s="8"/>
      <c r="G104" s="8"/>
    </row>
    <row r="105" customFormat="false" ht="15" hidden="false" customHeight="false" outlineLevel="0" collapsed="false">
      <c r="A105" s="9" t="s">
        <v>1683</v>
      </c>
      <c r="B105" s="9"/>
      <c r="C105" s="9" t="s">
        <v>1689</v>
      </c>
      <c r="D105" s="9" t="s">
        <v>1559</v>
      </c>
      <c r="E105" s="9" t="s">
        <v>134</v>
      </c>
      <c r="F105" s="9"/>
      <c r="G105" s="9"/>
    </row>
    <row r="106" customFormat="false" ht="15" hidden="false" customHeight="false" outlineLevel="0" collapsed="false">
      <c r="A106" s="8" t="s">
        <v>1683</v>
      </c>
      <c r="B106" s="8"/>
      <c r="C106" s="8" t="s">
        <v>1671</v>
      </c>
      <c r="D106" s="8" t="s">
        <v>1589</v>
      </c>
      <c r="E106" s="8" t="s">
        <v>139</v>
      </c>
      <c r="F106" s="8"/>
      <c r="G106" s="8"/>
    </row>
    <row r="107" customFormat="false" ht="15" hidden="false" customHeight="false" outlineLevel="0" collapsed="false">
      <c r="A107" s="9" t="s">
        <v>1683</v>
      </c>
      <c r="B107" s="9"/>
      <c r="C107" s="9" t="s">
        <v>1690</v>
      </c>
      <c r="D107" s="9" t="s">
        <v>1539</v>
      </c>
      <c r="E107" s="9" t="s">
        <v>134</v>
      </c>
      <c r="F107" s="9"/>
      <c r="G107" s="9"/>
    </row>
    <row r="108" customFormat="false" ht="15" hidden="false" customHeight="false" outlineLevel="0" collapsed="false">
      <c r="A108" s="8" t="s">
        <v>1683</v>
      </c>
      <c r="B108" s="8"/>
      <c r="C108" s="8" t="s">
        <v>1691</v>
      </c>
      <c r="D108" s="8" t="s">
        <v>1692</v>
      </c>
      <c r="E108" s="8" t="s">
        <v>139</v>
      </c>
      <c r="F108" s="8"/>
      <c r="G108" s="8" t="s">
        <v>1693</v>
      </c>
    </row>
    <row r="109" customFormat="false" ht="15" hidden="false" customHeight="false" outlineLevel="0" collapsed="false">
      <c r="A109" s="9" t="s">
        <v>1683</v>
      </c>
      <c r="B109" s="9"/>
      <c r="C109" s="9" t="s">
        <v>1694</v>
      </c>
      <c r="D109" s="9" t="s">
        <v>1545</v>
      </c>
      <c r="E109" s="9" t="s">
        <v>139</v>
      </c>
      <c r="F109" s="9"/>
      <c r="G109" s="9"/>
    </row>
    <row r="110" customFormat="false" ht="15" hidden="false" customHeight="false" outlineLevel="0" collapsed="false">
      <c r="A110" s="8" t="s">
        <v>1683</v>
      </c>
      <c r="B110" s="8"/>
      <c r="C110" s="8" t="s">
        <v>1695</v>
      </c>
      <c r="D110" s="8" t="s">
        <v>1535</v>
      </c>
      <c r="E110" s="8" t="s">
        <v>134</v>
      </c>
      <c r="F110" s="8" t="s">
        <v>1635</v>
      </c>
      <c r="G110" s="8" t="s">
        <v>1696</v>
      </c>
    </row>
    <row r="111" customFormat="false" ht="15" hidden="false" customHeight="false" outlineLevel="0" collapsed="false">
      <c r="A111" s="9" t="s">
        <v>1683</v>
      </c>
      <c r="B111" s="9"/>
      <c r="C111" s="9" t="s">
        <v>1697</v>
      </c>
      <c r="D111" s="9" t="s">
        <v>1535</v>
      </c>
      <c r="E111" s="9" t="s">
        <v>134</v>
      </c>
      <c r="F111" s="9" t="s">
        <v>1698</v>
      </c>
      <c r="G111" s="9"/>
    </row>
    <row r="112" customFormat="false" ht="23.85" hidden="false" customHeight="false" outlineLevel="0" collapsed="false">
      <c r="A112" s="8" t="s">
        <v>1699</v>
      </c>
      <c r="B112" s="8" t="s">
        <v>1700</v>
      </c>
      <c r="C112" s="8" t="s">
        <v>1534</v>
      </c>
      <c r="D112" s="8" t="s">
        <v>1535</v>
      </c>
      <c r="E112" s="8" t="s">
        <v>139</v>
      </c>
      <c r="F112" s="8" t="s">
        <v>1536</v>
      </c>
      <c r="G112" s="8"/>
    </row>
    <row r="113" customFormat="false" ht="15" hidden="false" customHeight="false" outlineLevel="0" collapsed="false">
      <c r="A113" s="9" t="s">
        <v>1699</v>
      </c>
      <c r="B113" s="9"/>
      <c r="C113" s="9" t="s">
        <v>1685</v>
      </c>
      <c r="D113" s="9" t="s">
        <v>1535</v>
      </c>
      <c r="E113" s="9" t="s">
        <v>139</v>
      </c>
      <c r="F113" s="9" t="s">
        <v>1686</v>
      </c>
      <c r="G113" s="9"/>
    </row>
    <row r="114" customFormat="false" ht="15" hidden="false" customHeight="false" outlineLevel="0" collapsed="false">
      <c r="A114" s="8" t="s">
        <v>1699</v>
      </c>
      <c r="B114" s="8"/>
      <c r="C114" s="8" t="s">
        <v>1661</v>
      </c>
      <c r="D114" s="8" t="s">
        <v>1535</v>
      </c>
      <c r="E114" s="8" t="s">
        <v>139</v>
      </c>
      <c r="F114" s="8" t="s">
        <v>1662</v>
      </c>
      <c r="G114" s="8"/>
    </row>
    <row r="115" customFormat="false" ht="15" hidden="false" customHeight="false" outlineLevel="0" collapsed="false">
      <c r="A115" s="9" t="s">
        <v>1699</v>
      </c>
      <c r="B115" s="9"/>
      <c r="C115" s="9" t="s">
        <v>1642</v>
      </c>
      <c r="D115" s="9" t="s">
        <v>1539</v>
      </c>
      <c r="E115" s="9" t="s">
        <v>139</v>
      </c>
      <c r="F115" s="9"/>
      <c r="G115" s="9" t="s">
        <v>1701</v>
      </c>
    </row>
    <row r="116" customFormat="false" ht="15" hidden="false" customHeight="false" outlineLevel="0" collapsed="false">
      <c r="A116" s="8" t="s">
        <v>1699</v>
      </c>
      <c r="B116" s="8"/>
      <c r="C116" s="8" t="s">
        <v>1702</v>
      </c>
      <c r="D116" s="8" t="s">
        <v>1576</v>
      </c>
      <c r="E116" s="8" t="s">
        <v>134</v>
      </c>
      <c r="F116" s="8"/>
      <c r="G116" s="8"/>
    </row>
    <row r="117" customFormat="false" ht="15" hidden="false" customHeight="false" outlineLevel="0" collapsed="false">
      <c r="A117" s="9" t="s">
        <v>1699</v>
      </c>
      <c r="B117" s="9"/>
      <c r="C117" s="9" t="s">
        <v>1703</v>
      </c>
      <c r="D117" s="9" t="s">
        <v>1576</v>
      </c>
      <c r="E117" s="9" t="s">
        <v>134</v>
      </c>
      <c r="F117" s="9"/>
      <c r="G117" s="9"/>
    </row>
    <row r="118" customFormat="false" ht="15" hidden="false" customHeight="false" outlineLevel="0" collapsed="false">
      <c r="A118" s="8" t="s">
        <v>1699</v>
      </c>
      <c r="B118" s="8"/>
      <c r="C118" s="8" t="s">
        <v>1704</v>
      </c>
      <c r="D118" s="8" t="s">
        <v>1576</v>
      </c>
      <c r="E118" s="8" t="s">
        <v>134</v>
      </c>
      <c r="F118" s="8"/>
      <c r="G118" s="8"/>
    </row>
    <row r="119" customFormat="false" ht="15" hidden="false" customHeight="false" outlineLevel="0" collapsed="false">
      <c r="A119" s="9" t="s">
        <v>1699</v>
      </c>
      <c r="B119" s="9"/>
      <c r="C119" s="9" t="s">
        <v>1705</v>
      </c>
      <c r="D119" s="9" t="s">
        <v>1559</v>
      </c>
      <c r="E119" s="9" t="s">
        <v>134</v>
      </c>
      <c r="F119" s="9"/>
      <c r="G119" s="9" t="s">
        <v>1693</v>
      </c>
    </row>
    <row r="120" customFormat="false" ht="15" hidden="false" customHeight="false" outlineLevel="0" collapsed="false">
      <c r="A120" s="8" t="s">
        <v>1699</v>
      </c>
      <c r="B120" s="8"/>
      <c r="C120" s="8" t="s">
        <v>1706</v>
      </c>
      <c r="D120" s="8" t="s">
        <v>1545</v>
      </c>
      <c r="E120" s="8" t="s">
        <v>139</v>
      </c>
      <c r="F120" s="8"/>
      <c r="G120" s="8"/>
    </row>
    <row r="121" customFormat="false" ht="23.85" hidden="false" customHeight="false" outlineLevel="0" collapsed="false">
      <c r="A121" s="9" t="s">
        <v>1707</v>
      </c>
      <c r="B121" s="9" t="s">
        <v>1708</v>
      </c>
      <c r="C121" s="9" t="s">
        <v>1534</v>
      </c>
      <c r="D121" s="9" t="s">
        <v>1535</v>
      </c>
      <c r="E121" s="9" t="s">
        <v>139</v>
      </c>
      <c r="F121" s="9" t="s">
        <v>1536</v>
      </c>
      <c r="G121" s="9"/>
    </row>
    <row r="122" customFormat="false" ht="23.85" hidden="false" customHeight="false" outlineLevel="0" collapsed="false">
      <c r="A122" s="8" t="s">
        <v>1707</v>
      </c>
      <c r="B122" s="8"/>
      <c r="C122" s="8" t="s">
        <v>1638</v>
      </c>
      <c r="D122" s="8" t="s">
        <v>1539</v>
      </c>
      <c r="E122" s="8" t="s">
        <v>139</v>
      </c>
      <c r="F122" s="8"/>
      <c r="G122" s="8" t="s">
        <v>1709</v>
      </c>
    </row>
    <row r="123" customFormat="false" ht="23.85" hidden="false" customHeight="false" outlineLevel="0" collapsed="false">
      <c r="A123" s="9" t="s">
        <v>1707</v>
      </c>
      <c r="B123" s="9"/>
      <c r="C123" s="9" t="s">
        <v>1563</v>
      </c>
      <c r="D123" s="9" t="s">
        <v>1535</v>
      </c>
      <c r="E123" s="9" t="s">
        <v>134</v>
      </c>
      <c r="F123" s="9" t="s">
        <v>1557</v>
      </c>
      <c r="G123" s="9" t="s">
        <v>1710</v>
      </c>
    </row>
    <row r="124" customFormat="false" ht="15" hidden="false" customHeight="false" outlineLevel="0" collapsed="false">
      <c r="A124" s="8" t="s">
        <v>1707</v>
      </c>
      <c r="B124" s="8"/>
      <c r="C124" s="8" t="s">
        <v>1711</v>
      </c>
      <c r="D124" s="8" t="s">
        <v>1539</v>
      </c>
      <c r="E124" s="8" t="s">
        <v>139</v>
      </c>
      <c r="F124" s="8"/>
      <c r="G124" s="8" t="s">
        <v>1712</v>
      </c>
    </row>
    <row r="125" customFormat="false" ht="15" hidden="false" customHeight="false" outlineLevel="0" collapsed="false">
      <c r="A125" s="9" t="s">
        <v>1707</v>
      </c>
      <c r="B125" s="9"/>
      <c r="C125" s="9" t="s">
        <v>1713</v>
      </c>
      <c r="D125" s="9" t="s">
        <v>1539</v>
      </c>
      <c r="E125" s="9" t="s">
        <v>139</v>
      </c>
      <c r="F125" s="9"/>
      <c r="G125" s="9" t="s">
        <v>1714</v>
      </c>
    </row>
    <row r="126" customFormat="false" ht="15" hidden="false" customHeight="false" outlineLevel="0" collapsed="false">
      <c r="A126" s="8" t="s">
        <v>1707</v>
      </c>
      <c r="B126" s="8"/>
      <c r="C126" s="8" t="s">
        <v>1663</v>
      </c>
      <c r="D126" s="8" t="s">
        <v>1539</v>
      </c>
      <c r="E126" s="8" t="s">
        <v>134</v>
      </c>
      <c r="F126" s="8" t="s">
        <v>1602</v>
      </c>
      <c r="G126" s="8"/>
    </row>
    <row r="127" customFormat="false" ht="15" hidden="false" customHeight="false" outlineLevel="0" collapsed="false">
      <c r="A127" s="9" t="s">
        <v>1707</v>
      </c>
      <c r="B127" s="9"/>
      <c r="C127" s="9" t="s">
        <v>1619</v>
      </c>
      <c r="D127" s="9" t="s">
        <v>1539</v>
      </c>
      <c r="E127" s="9" t="s">
        <v>139</v>
      </c>
      <c r="F127" s="9"/>
      <c r="G127" s="9"/>
    </row>
    <row r="128" customFormat="false" ht="15" hidden="false" customHeight="false" outlineLevel="0" collapsed="false">
      <c r="A128" s="8" t="s">
        <v>1707</v>
      </c>
      <c r="B128" s="8"/>
      <c r="C128" s="8" t="s">
        <v>1715</v>
      </c>
      <c r="D128" s="8" t="s">
        <v>1539</v>
      </c>
      <c r="E128" s="8" t="s">
        <v>134</v>
      </c>
      <c r="F128" s="8"/>
      <c r="G128" s="8" t="s">
        <v>1716</v>
      </c>
    </row>
    <row r="129" customFormat="false" ht="15" hidden="false" customHeight="false" outlineLevel="0" collapsed="false">
      <c r="A129" s="9" t="s">
        <v>1707</v>
      </c>
      <c r="B129" s="9"/>
      <c r="C129" s="9" t="s">
        <v>1680</v>
      </c>
      <c r="D129" s="9" t="s">
        <v>1535</v>
      </c>
      <c r="E129" s="9" t="s">
        <v>134</v>
      </c>
      <c r="F129" s="9" t="s">
        <v>1681</v>
      </c>
      <c r="G129" s="9"/>
    </row>
    <row r="130" customFormat="false" ht="15" hidden="false" customHeight="false" outlineLevel="0" collapsed="false">
      <c r="A130" s="8" t="s">
        <v>1707</v>
      </c>
      <c r="B130" s="8"/>
      <c r="C130" s="8" t="s">
        <v>1717</v>
      </c>
      <c r="D130" s="8" t="s">
        <v>1539</v>
      </c>
      <c r="E130" s="8" t="s">
        <v>134</v>
      </c>
      <c r="F130" s="8"/>
      <c r="G130" s="8" t="s">
        <v>1718</v>
      </c>
    </row>
    <row r="131" customFormat="false" ht="15" hidden="false" customHeight="false" outlineLevel="0" collapsed="false">
      <c r="A131" s="9" t="s">
        <v>1707</v>
      </c>
      <c r="B131" s="9"/>
      <c r="C131" s="9" t="s">
        <v>1689</v>
      </c>
      <c r="D131" s="9" t="s">
        <v>1559</v>
      </c>
      <c r="E131" s="9" t="s">
        <v>134</v>
      </c>
      <c r="F131" s="9"/>
      <c r="G131" s="9"/>
    </row>
    <row r="132" customFormat="false" ht="15" hidden="false" customHeight="false" outlineLevel="0" collapsed="false">
      <c r="A132" s="8" t="s">
        <v>1707</v>
      </c>
      <c r="B132" s="8"/>
      <c r="C132" s="8" t="s">
        <v>1622</v>
      </c>
      <c r="D132" s="8" t="s">
        <v>1539</v>
      </c>
      <c r="E132" s="8" t="s">
        <v>134</v>
      </c>
      <c r="F132" s="8"/>
      <c r="G132" s="8"/>
    </row>
    <row r="133" customFormat="false" ht="15" hidden="false" customHeight="false" outlineLevel="0" collapsed="false">
      <c r="A133" s="9" t="s">
        <v>1707</v>
      </c>
      <c r="B133" s="9"/>
      <c r="C133" s="9" t="s">
        <v>1719</v>
      </c>
      <c r="D133" s="9" t="s">
        <v>1589</v>
      </c>
      <c r="E133" s="9" t="s">
        <v>139</v>
      </c>
      <c r="F133" s="9"/>
      <c r="G133" s="9"/>
    </row>
    <row r="134" customFormat="false" ht="15" hidden="false" customHeight="false" outlineLevel="0" collapsed="false">
      <c r="A134" s="8" t="s">
        <v>1707</v>
      </c>
      <c r="B134" s="8"/>
      <c r="C134" s="8" t="s">
        <v>1720</v>
      </c>
      <c r="D134" s="8" t="s">
        <v>1621</v>
      </c>
      <c r="E134" s="8" t="s">
        <v>139</v>
      </c>
      <c r="F134" s="8"/>
      <c r="G134" s="8"/>
    </row>
    <row r="135" customFormat="false" ht="23.85" hidden="false" customHeight="false" outlineLevel="0" collapsed="false">
      <c r="A135" s="9" t="s">
        <v>1721</v>
      </c>
      <c r="B135" s="9" t="s">
        <v>1722</v>
      </c>
      <c r="C135" s="9" t="s">
        <v>1534</v>
      </c>
      <c r="D135" s="9" t="s">
        <v>1535</v>
      </c>
      <c r="E135" s="9" t="s">
        <v>139</v>
      </c>
      <c r="F135" s="9" t="s">
        <v>1536</v>
      </c>
      <c r="G135" s="9"/>
    </row>
    <row r="136" customFormat="false" ht="15" hidden="false" customHeight="false" outlineLevel="0" collapsed="false">
      <c r="A136" s="8" t="s">
        <v>1721</v>
      </c>
      <c r="B136" s="8"/>
      <c r="C136" s="8" t="s">
        <v>1723</v>
      </c>
      <c r="D136" s="8" t="s">
        <v>1535</v>
      </c>
      <c r="E136" s="8" t="s">
        <v>139</v>
      </c>
      <c r="F136" s="8" t="s">
        <v>1724</v>
      </c>
      <c r="G136" s="8"/>
    </row>
    <row r="137" customFormat="false" ht="15" hidden="false" customHeight="false" outlineLevel="0" collapsed="false">
      <c r="A137" s="9" t="s">
        <v>1721</v>
      </c>
      <c r="B137" s="9"/>
      <c r="C137" s="9" t="s">
        <v>1725</v>
      </c>
      <c r="D137" s="9" t="s">
        <v>1576</v>
      </c>
      <c r="E137" s="9" t="s">
        <v>139</v>
      </c>
      <c r="F137" s="9"/>
      <c r="G137" s="9"/>
    </row>
    <row r="138" customFormat="false" ht="15" hidden="false" customHeight="false" outlineLevel="0" collapsed="false">
      <c r="A138" s="8" t="s">
        <v>1721</v>
      </c>
      <c r="B138" s="8"/>
      <c r="C138" s="8" t="s">
        <v>1726</v>
      </c>
      <c r="D138" s="8" t="s">
        <v>1545</v>
      </c>
      <c r="E138" s="8" t="s">
        <v>134</v>
      </c>
      <c r="F138" s="8"/>
      <c r="G138" s="8"/>
    </row>
    <row r="139" customFormat="false" ht="15" hidden="false" customHeight="false" outlineLevel="0" collapsed="false">
      <c r="A139" s="9" t="s">
        <v>1721</v>
      </c>
      <c r="B139" s="9"/>
      <c r="C139" s="9" t="s">
        <v>1642</v>
      </c>
      <c r="D139" s="9" t="s">
        <v>1539</v>
      </c>
      <c r="E139" s="9" t="s">
        <v>139</v>
      </c>
      <c r="F139" s="9"/>
      <c r="G139" s="9" t="s">
        <v>1727</v>
      </c>
    </row>
    <row r="140" customFormat="false" ht="15" hidden="false" customHeight="false" outlineLevel="0" collapsed="false">
      <c r="A140" s="8" t="s">
        <v>1721</v>
      </c>
      <c r="B140" s="8"/>
      <c r="C140" s="8" t="s">
        <v>1728</v>
      </c>
      <c r="D140" s="8" t="s">
        <v>1621</v>
      </c>
      <c r="E140" s="8" t="s">
        <v>139</v>
      </c>
      <c r="F140" s="8"/>
      <c r="G140" s="8" t="s">
        <v>1729</v>
      </c>
    </row>
    <row r="141" customFormat="false" ht="23.85" hidden="false" customHeight="false" outlineLevel="0" collapsed="false">
      <c r="A141" s="9" t="s">
        <v>1730</v>
      </c>
      <c r="B141" s="9" t="s">
        <v>1731</v>
      </c>
      <c r="C141" s="9" t="s">
        <v>1534</v>
      </c>
      <c r="D141" s="9" t="s">
        <v>1535</v>
      </c>
      <c r="E141" s="9" t="s">
        <v>139</v>
      </c>
      <c r="F141" s="9" t="s">
        <v>1536</v>
      </c>
      <c r="G141" s="9"/>
    </row>
    <row r="142" customFormat="false" ht="15" hidden="false" customHeight="false" outlineLevel="0" collapsed="false">
      <c r="A142" s="8" t="s">
        <v>1730</v>
      </c>
      <c r="B142" s="8"/>
      <c r="C142" s="8" t="s">
        <v>1732</v>
      </c>
      <c r="D142" s="8" t="s">
        <v>1535</v>
      </c>
      <c r="E142" s="8" t="s">
        <v>139</v>
      </c>
      <c r="F142" s="8" t="s">
        <v>1733</v>
      </c>
      <c r="G142" s="8"/>
    </row>
    <row r="143" customFormat="false" ht="15" hidden="false" customHeight="false" outlineLevel="0" collapsed="false">
      <c r="A143" s="9" t="s">
        <v>1730</v>
      </c>
      <c r="B143" s="9"/>
      <c r="C143" s="9" t="s">
        <v>1723</v>
      </c>
      <c r="D143" s="9" t="s">
        <v>1535</v>
      </c>
      <c r="E143" s="9" t="s">
        <v>139</v>
      </c>
      <c r="F143" s="9" t="s">
        <v>1724</v>
      </c>
      <c r="G143" s="9"/>
    </row>
    <row r="144" customFormat="false" ht="15" hidden="false" customHeight="false" outlineLevel="0" collapsed="false">
      <c r="A144" s="8" t="s">
        <v>1730</v>
      </c>
      <c r="B144" s="8"/>
      <c r="C144" s="8" t="s">
        <v>1734</v>
      </c>
      <c r="D144" s="8" t="s">
        <v>1535</v>
      </c>
      <c r="E144" s="8" t="s">
        <v>139</v>
      </c>
      <c r="F144" s="8" t="s">
        <v>1735</v>
      </c>
      <c r="G144" s="8" t="s">
        <v>1736</v>
      </c>
    </row>
    <row r="145" customFormat="false" ht="23.85" hidden="false" customHeight="false" outlineLevel="0" collapsed="false">
      <c r="A145" s="9" t="s">
        <v>1730</v>
      </c>
      <c r="B145" s="9"/>
      <c r="C145" s="9" t="s">
        <v>1737</v>
      </c>
      <c r="D145" s="9" t="s">
        <v>1539</v>
      </c>
      <c r="E145" s="9" t="s">
        <v>139</v>
      </c>
      <c r="F145" s="9"/>
      <c r="G145" s="9" t="s">
        <v>1738</v>
      </c>
    </row>
    <row r="146" customFormat="false" ht="15" hidden="false" customHeight="false" outlineLevel="0" collapsed="false">
      <c r="A146" s="8" t="s">
        <v>1730</v>
      </c>
      <c r="B146" s="8"/>
      <c r="C146" s="8" t="s">
        <v>1739</v>
      </c>
      <c r="D146" s="8" t="s">
        <v>1539</v>
      </c>
      <c r="E146" s="8" t="s">
        <v>139</v>
      </c>
      <c r="F146" s="8"/>
      <c r="G146" s="8" t="s">
        <v>1740</v>
      </c>
    </row>
    <row r="147" customFormat="false" ht="15" hidden="false" customHeight="false" outlineLevel="0" collapsed="false">
      <c r="A147" s="9" t="s">
        <v>1730</v>
      </c>
      <c r="B147" s="9"/>
      <c r="C147" s="9" t="s">
        <v>1741</v>
      </c>
      <c r="D147" s="9" t="s">
        <v>1589</v>
      </c>
      <c r="E147" s="9" t="s">
        <v>139</v>
      </c>
      <c r="F147" s="9"/>
      <c r="G147" s="9"/>
    </row>
    <row r="148" customFormat="false" ht="15" hidden="false" customHeight="false" outlineLevel="0" collapsed="false">
      <c r="A148" s="8" t="s">
        <v>1730</v>
      </c>
      <c r="B148" s="8"/>
      <c r="C148" s="8" t="s">
        <v>1742</v>
      </c>
      <c r="D148" s="8" t="s">
        <v>1578</v>
      </c>
      <c r="E148" s="8" t="s">
        <v>139</v>
      </c>
      <c r="F148" s="8"/>
      <c r="G148" s="8"/>
    </row>
    <row r="149" customFormat="false" ht="15" hidden="false" customHeight="false" outlineLevel="0" collapsed="false">
      <c r="A149" s="9" t="s">
        <v>1730</v>
      </c>
      <c r="B149" s="9"/>
      <c r="C149" s="9" t="s">
        <v>1743</v>
      </c>
      <c r="D149" s="9" t="s">
        <v>1576</v>
      </c>
      <c r="E149" s="9" t="s">
        <v>139</v>
      </c>
      <c r="F149" s="9"/>
      <c r="G149" s="9"/>
    </row>
    <row r="150" customFormat="false" ht="15" hidden="false" customHeight="false" outlineLevel="0" collapsed="false">
      <c r="A150" s="8" t="s">
        <v>1730</v>
      </c>
      <c r="B150" s="8"/>
      <c r="C150" s="8" t="s">
        <v>1744</v>
      </c>
      <c r="D150" s="8" t="s">
        <v>1578</v>
      </c>
      <c r="E150" s="8" t="s">
        <v>139</v>
      </c>
      <c r="F150" s="8"/>
      <c r="G150" s="8" t="s">
        <v>1745</v>
      </c>
    </row>
    <row r="151" customFormat="false" ht="15" hidden="false" customHeight="false" outlineLevel="0" collapsed="false">
      <c r="A151" s="9" t="s">
        <v>1730</v>
      </c>
      <c r="B151" s="9"/>
      <c r="C151" s="9" t="s">
        <v>1746</v>
      </c>
      <c r="D151" s="9" t="s">
        <v>1545</v>
      </c>
      <c r="E151" s="9" t="s">
        <v>139</v>
      </c>
      <c r="F151" s="9"/>
      <c r="G151" s="9" t="s">
        <v>1747</v>
      </c>
    </row>
    <row r="152" customFormat="false" ht="15" hidden="false" customHeight="false" outlineLevel="0" collapsed="false">
      <c r="A152" s="8" t="s">
        <v>1730</v>
      </c>
      <c r="B152" s="8"/>
      <c r="C152" s="8" t="s">
        <v>1748</v>
      </c>
      <c r="D152" s="8" t="s">
        <v>1539</v>
      </c>
      <c r="E152" s="8" t="s">
        <v>134</v>
      </c>
      <c r="F152" s="8"/>
      <c r="G152" s="8" t="s">
        <v>1749</v>
      </c>
    </row>
    <row r="153" customFormat="false" ht="15" hidden="false" customHeight="false" outlineLevel="0" collapsed="false">
      <c r="A153" s="9" t="s">
        <v>1730</v>
      </c>
      <c r="B153" s="9"/>
      <c r="C153" s="9" t="s">
        <v>1750</v>
      </c>
      <c r="D153" s="9" t="s">
        <v>1535</v>
      </c>
      <c r="E153" s="9" t="s">
        <v>134</v>
      </c>
      <c r="F153" s="9" t="s">
        <v>1635</v>
      </c>
      <c r="G153" s="9"/>
    </row>
    <row r="154" customFormat="false" ht="15" hidden="false" customHeight="false" outlineLevel="0" collapsed="false">
      <c r="A154" s="8" t="s">
        <v>1751</v>
      </c>
      <c r="B154" s="8" t="s">
        <v>1752</v>
      </c>
      <c r="C154" s="8" t="s">
        <v>1534</v>
      </c>
      <c r="D154" s="8" t="s">
        <v>1535</v>
      </c>
      <c r="E154" s="8" t="s">
        <v>139</v>
      </c>
      <c r="F154" s="8" t="s">
        <v>1536</v>
      </c>
      <c r="G154" s="8"/>
    </row>
    <row r="155" customFormat="false" ht="15" hidden="false" customHeight="false" outlineLevel="0" collapsed="false">
      <c r="A155" s="9" t="s">
        <v>1751</v>
      </c>
      <c r="B155" s="9"/>
      <c r="C155" s="9" t="s">
        <v>1753</v>
      </c>
      <c r="D155" s="9" t="s">
        <v>1535</v>
      </c>
      <c r="E155" s="9" t="s">
        <v>139</v>
      </c>
      <c r="F155" s="9" t="s">
        <v>1754</v>
      </c>
      <c r="G155" s="9"/>
    </row>
    <row r="156" customFormat="false" ht="15" hidden="false" customHeight="false" outlineLevel="0" collapsed="false">
      <c r="A156" s="8" t="s">
        <v>1751</v>
      </c>
      <c r="B156" s="8"/>
      <c r="C156" s="8" t="s">
        <v>1732</v>
      </c>
      <c r="D156" s="8" t="s">
        <v>1535</v>
      </c>
      <c r="E156" s="8" t="s">
        <v>139</v>
      </c>
      <c r="F156" s="8" t="s">
        <v>1733</v>
      </c>
      <c r="G156" s="8"/>
    </row>
    <row r="157" customFormat="false" ht="15" hidden="false" customHeight="false" outlineLevel="0" collapsed="false">
      <c r="A157" s="9" t="s">
        <v>1751</v>
      </c>
      <c r="B157" s="9"/>
      <c r="C157" s="9" t="s">
        <v>1755</v>
      </c>
      <c r="D157" s="9" t="s">
        <v>1576</v>
      </c>
      <c r="E157" s="9" t="s">
        <v>134</v>
      </c>
      <c r="F157" s="9"/>
      <c r="G157" s="9"/>
    </row>
    <row r="158" customFormat="false" ht="15" hidden="false" customHeight="false" outlineLevel="0" collapsed="false">
      <c r="A158" s="8" t="s">
        <v>1751</v>
      </c>
      <c r="B158" s="8"/>
      <c r="C158" s="8" t="s">
        <v>1756</v>
      </c>
      <c r="D158" s="8" t="s">
        <v>1576</v>
      </c>
      <c r="E158" s="8" t="s">
        <v>134</v>
      </c>
      <c r="F158" s="8"/>
      <c r="G158" s="8"/>
    </row>
    <row r="159" customFormat="false" ht="15" hidden="false" customHeight="false" outlineLevel="0" collapsed="false">
      <c r="A159" s="9" t="s">
        <v>1751</v>
      </c>
      <c r="B159" s="9"/>
      <c r="C159" s="9" t="s">
        <v>1757</v>
      </c>
      <c r="D159" s="9" t="s">
        <v>1576</v>
      </c>
      <c r="E159" s="9" t="s">
        <v>134</v>
      </c>
      <c r="F159" s="9"/>
      <c r="G159" s="9"/>
    </row>
    <row r="160" customFormat="false" ht="15" hidden="false" customHeight="false" outlineLevel="0" collapsed="false">
      <c r="A160" s="8" t="s">
        <v>1751</v>
      </c>
      <c r="B160" s="8"/>
      <c r="C160" s="8" t="s">
        <v>1672</v>
      </c>
      <c r="D160" s="8" t="s">
        <v>1576</v>
      </c>
      <c r="E160" s="8" t="s">
        <v>134</v>
      </c>
      <c r="F160" s="8"/>
      <c r="G160" s="8"/>
    </row>
    <row r="161" customFormat="false" ht="15" hidden="false" customHeight="false" outlineLevel="0" collapsed="false">
      <c r="A161" s="9" t="s">
        <v>1751</v>
      </c>
      <c r="B161" s="9"/>
      <c r="C161" s="9" t="s">
        <v>1758</v>
      </c>
      <c r="D161" s="9" t="s">
        <v>1535</v>
      </c>
      <c r="E161" s="9" t="s">
        <v>134</v>
      </c>
      <c r="F161" s="9" t="s">
        <v>1759</v>
      </c>
      <c r="G161" s="9"/>
    </row>
    <row r="162" customFormat="false" ht="15" hidden="false" customHeight="false" outlineLevel="0" collapsed="false">
      <c r="A162" s="8" t="s">
        <v>1751</v>
      </c>
      <c r="B162" s="8"/>
      <c r="C162" s="8" t="s">
        <v>1760</v>
      </c>
      <c r="D162" s="8" t="s">
        <v>1559</v>
      </c>
      <c r="E162" s="8" t="s">
        <v>139</v>
      </c>
      <c r="F162" s="8"/>
      <c r="G162" s="8"/>
    </row>
    <row r="163" customFormat="false" ht="15" hidden="false" customHeight="false" outlineLevel="0" collapsed="false">
      <c r="A163" s="9" t="s">
        <v>1751</v>
      </c>
      <c r="B163" s="9"/>
      <c r="C163" s="9" t="s">
        <v>1761</v>
      </c>
      <c r="D163" s="9" t="s">
        <v>1539</v>
      </c>
      <c r="E163" s="9" t="s">
        <v>139</v>
      </c>
      <c r="F163" s="9"/>
      <c r="G163" s="9" t="s">
        <v>1762</v>
      </c>
    </row>
    <row r="164" customFormat="false" ht="15" hidden="false" customHeight="false" outlineLevel="0" collapsed="false">
      <c r="A164" s="8" t="s">
        <v>1751</v>
      </c>
      <c r="B164" s="8"/>
      <c r="C164" s="8" t="s">
        <v>1763</v>
      </c>
      <c r="D164" s="8" t="s">
        <v>1539</v>
      </c>
      <c r="E164" s="8" t="s">
        <v>139</v>
      </c>
      <c r="F164" s="8" t="s">
        <v>1764</v>
      </c>
      <c r="G164" s="8" t="s">
        <v>1765</v>
      </c>
    </row>
    <row r="165" customFormat="false" ht="15" hidden="false" customHeight="false" outlineLevel="0" collapsed="false">
      <c r="A165" s="9" t="s">
        <v>1751</v>
      </c>
      <c r="B165" s="9"/>
      <c r="C165" s="9" t="s">
        <v>1694</v>
      </c>
      <c r="D165" s="9" t="s">
        <v>1545</v>
      </c>
      <c r="E165" s="9" t="s">
        <v>139</v>
      </c>
      <c r="F165" s="9"/>
      <c r="G165" s="9"/>
    </row>
    <row r="166" customFormat="false" ht="15" hidden="false" customHeight="false" outlineLevel="0" collapsed="false">
      <c r="A166" s="8" t="s">
        <v>1503</v>
      </c>
      <c r="B166" s="8" t="s">
        <v>1766</v>
      </c>
      <c r="C166" s="8" t="s">
        <v>1753</v>
      </c>
      <c r="D166" s="8" t="s">
        <v>1535</v>
      </c>
      <c r="E166" s="8" t="s">
        <v>139</v>
      </c>
      <c r="F166" s="8" t="s">
        <v>1767</v>
      </c>
      <c r="G166" s="8"/>
    </row>
    <row r="167" customFormat="false" ht="15" hidden="false" customHeight="false" outlineLevel="0" collapsed="false">
      <c r="A167" s="9" t="s">
        <v>1503</v>
      </c>
      <c r="B167" s="9"/>
      <c r="C167" s="9" t="s">
        <v>1768</v>
      </c>
      <c r="D167" s="9" t="s">
        <v>1539</v>
      </c>
      <c r="E167" s="9" t="s">
        <v>139</v>
      </c>
      <c r="F167" s="9"/>
      <c r="G167" s="9" t="s">
        <v>1769</v>
      </c>
    </row>
    <row r="168" customFormat="false" ht="15" hidden="false" customHeight="false" outlineLevel="0" collapsed="false">
      <c r="A168" s="8" t="s">
        <v>1503</v>
      </c>
      <c r="B168" s="8"/>
      <c r="C168" s="8" t="s">
        <v>1770</v>
      </c>
      <c r="D168" s="8" t="s">
        <v>1576</v>
      </c>
      <c r="E168" s="8" t="s">
        <v>134</v>
      </c>
      <c r="F168" s="8"/>
      <c r="G168" s="8"/>
    </row>
    <row r="169" customFormat="false" ht="15" hidden="false" customHeight="false" outlineLevel="0" collapsed="false">
      <c r="A169" s="9" t="s">
        <v>1503</v>
      </c>
      <c r="B169" s="9"/>
      <c r="C169" s="9" t="s">
        <v>1623</v>
      </c>
      <c r="D169" s="9" t="s">
        <v>1578</v>
      </c>
      <c r="E169" s="9" t="s">
        <v>134</v>
      </c>
      <c r="F169" s="9"/>
      <c r="G169" s="9" t="s">
        <v>1771</v>
      </c>
    </row>
    <row r="170" customFormat="false" ht="15" hidden="false" customHeight="false" outlineLevel="0" collapsed="false">
      <c r="A170" s="8" t="s">
        <v>1503</v>
      </c>
      <c r="B170" s="8"/>
      <c r="C170" s="8" t="s">
        <v>1772</v>
      </c>
      <c r="D170" s="8" t="s">
        <v>1576</v>
      </c>
      <c r="E170" s="8" t="s">
        <v>134</v>
      </c>
      <c r="F170" s="8"/>
      <c r="G170" s="8"/>
    </row>
    <row r="171" customFormat="false" ht="15" hidden="false" customHeight="false" outlineLevel="0" collapsed="false">
      <c r="A171" s="9" t="s">
        <v>1503</v>
      </c>
      <c r="B171" s="9"/>
      <c r="C171" s="9" t="s">
        <v>1773</v>
      </c>
      <c r="D171" s="9" t="s">
        <v>1774</v>
      </c>
      <c r="E171" s="9" t="s">
        <v>134</v>
      </c>
      <c r="F171" s="9"/>
      <c r="G171" s="9"/>
    </row>
    <row r="172" customFormat="false" ht="23.85" hidden="false" customHeight="false" outlineLevel="0" collapsed="false">
      <c r="A172" s="8" t="s">
        <v>1503</v>
      </c>
      <c r="B172" s="8"/>
      <c r="C172" s="8" t="s">
        <v>1775</v>
      </c>
      <c r="D172" s="8" t="s">
        <v>1589</v>
      </c>
      <c r="E172" s="8" t="s">
        <v>139</v>
      </c>
      <c r="F172" s="8"/>
      <c r="G172" s="8" t="s">
        <v>1776</v>
      </c>
    </row>
    <row r="173" customFormat="false" ht="15" hidden="false" customHeight="false" outlineLevel="0" collapsed="false">
      <c r="A173" s="9" t="s">
        <v>1503</v>
      </c>
      <c r="B173" s="9"/>
      <c r="C173" s="9" t="s">
        <v>1573</v>
      </c>
      <c r="D173" s="9" t="s">
        <v>1539</v>
      </c>
      <c r="E173" s="9" t="s">
        <v>139</v>
      </c>
      <c r="F173" s="9"/>
      <c r="G173" s="9"/>
    </row>
    <row r="174" customFormat="false" ht="15" hidden="false" customHeight="false" outlineLevel="0" collapsed="false">
      <c r="A174" s="8" t="s">
        <v>1503</v>
      </c>
      <c r="B174" s="8"/>
      <c r="C174" s="8" t="s">
        <v>1777</v>
      </c>
      <c r="D174" s="8" t="s">
        <v>1587</v>
      </c>
      <c r="E174" s="8" t="s">
        <v>139</v>
      </c>
      <c r="F174" s="8"/>
      <c r="G174" s="8"/>
    </row>
    <row r="175" customFormat="false" ht="15" hidden="false" customHeight="false" outlineLevel="0" collapsed="false">
      <c r="A175" s="9" t="s">
        <v>1503</v>
      </c>
      <c r="B175" s="9"/>
      <c r="C175" s="9" t="s">
        <v>1778</v>
      </c>
      <c r="D175" s="9" t="s">
        <v>1587</v>
      </c>
      <c r="E175" s="9" t="s">
        <v>139</v>
      </c>
      <c r="F175" s="9"/>
      <c r="G175" s="9"/>
    </row>
    <row r="176" customFormat="false" ht="15" hidden="false" customHeight="false" outlineLevel="0" collapsed="false">
      <c r="A176" s="8" t="s">
        <v>1503</v>
      </c>
      <c r="B176" s="8"/>
      <c r="C176" s="8" t="s">
        <v>1779</v>
      </c>
      <c r="D176" s="8" t="s">
        <v>1576</v>
      </c>
      <c r="E176" s="8" t="s">
        <v>134</v>
      </c>
      <c r="F176" s="8"/>
      <c r="G176" s="8" t="s">
        <v>1780</v>
      </c>
    </row>
    <row r="177" customFormat="false" ht="15" hidden="false" customHeight="false" outlineLevel="0" collapsed="false">
      <c r="A177" s="9" t="s">
        <v>1781</v>
      </c>
      <c r="B177" s="9" t="s">
        <v>1782</v>
      </c>
      <c r="C177" s="9" t="s">
        <v>1534</v>
      </c>
      <c r="D177" s="9" t="s">
        <v>1535</v>
      </c>
      <c r="E177" s="9" t="s">
        <v>139</v>
      </c>
      <c r="F177" s="9" t="s">
        <v>1536</v>
      </c>
      <c r="G177" s="9"/>
    </row>
    <row r="178" customFormat="false" ht="15" hidden="false" customHeight="false" outlineLevel="0" collapsed="false">
      <c r="A178" s="8" t="s">
        <v>1781</v>
      </c>
      <c r="B178" s="8"/>
      <c r="C178" s="8" t="s">
        <v>1753</v>
      </c>
      <c r="D178" s="8" t="s">
        <v>1535</v>
      </c>
      <c r="E178" s="8" t="s">
        <v>139</v>
      </c>
      <c r="F178" s="8" t="s">
        <v>1754</v>
      </c>
      <c r="G178" s="8"/>
    </row>
    <row r="179" customFormat="false" ht="15" hidden="false" customHeight="false" outlineLevel="0" collapsed="false">
      <c r="A179" s="9" t="s">
        <v>1781</v>
      </c>
      <c r="B179" s="9"/>
      <c r="C179" s="9" t="s">
        <v>1783</v>
      </c>
      <c r="D179" s="9" t="s">
        <v>1539</v>
      </c>
      <c r="E179" s="9" t="s">
        <v>139</v>
      </c>
      <c r="F179" s="9"/>
      <c r="G179" s="9" t="s">
        <v>1784</v>
      </c>
    </row>
    <row r="180" customFormat="false" ht="15" hidden="false" customHeight="false" outlineLevel="0" collapsed="false">
      <c r="A180" s="8" t="s">
        <v>1781</v>
      </c>
      <c r="B180" s="8"/>
      <c r="C180" s="8" t="s">
        <v>1785</v>
      </c>
      <c r="D180" s="8" t="s">
        <v>1576</v>
      </c>
      <c r="E180" s="8" t="s">
        <v>134</v>
      </c>
      <c r="F180" s="8"/>
      <c r="G180" s="8"/>
    </row>
    <row r="181" customFormat="false" ht="15" hidden="false" customHeight="false" outlineLevel="0" collapsed="false">
      <c r="A181" s="9" t="s">
        <v>1781</v>
      </c>
      <c r="B181" s="9"/>
      <c r="C181" s="9" t="s">
        <v>1786</v>
      </c>
      <c r="D181" s="9" t="s">
        <v>1576</v>
      </c>
      <c r="E181" s="9" t="s">
        <v>134</v>
      </c>
      <c r="F181" s="9"/>
      <c r="G181" s="9"/>
    </row>
    <row r="182" customFormat="false" ht="15" hidden="false" customHeight="false" outlineLevel="0" collapsed="false">
      <c r="A182" s="8" t="s">
        <v>1781</v>
      </c>
      <c r="B182" s="8"/>
      <c r="C182" s="8" t="s">
        <v>1787</v>
      </c>
      <c r="D182" s="8" t="s">
        <v>1576</v>
      </c>
      <c r="E182" s="8" t="s">
        <v>134</v>
      </c>
      <c r="F182" s="8"/>
      <c r="G182" s="8"/>
    </row>
    <row r="183" customFormat="false" ht="15" hidden="false" customHeight="false" outlineLevel="0" collapsed="false">
      <c r="A183" s="9" t="s">
        <v>1781</v>
      </c>
      <c r="B183" s="9"/>
      <c r="C183" s="9" t="s">
        <v>1788</v>
      </c>
      <c r="D183" s="9" t="s">
        <v>1539</v>
      </c>
      <c r="E183" s="9" t="s">
        <v>134</v>
      </c>
      <c r="F183" s="9"/>
      <c r="G183" s="9"/>
    </row>
    <row r="184" customFormat="false" ht="15" hidden="false" customHeight="false" outlineLevel="0" collapsed="false">
      <c r="A184" s="8" t="s">
        <v>1781</v>
      </c>
      <c r="B184" s="8"/>
      <c r="C184" s="8" t="s">
        <v>1789</v>
      </c>
      <c r="D184" s="8" t="s">
        <v>1790</v>
      </c>
      <c r="E184" s="8" t="s">
        <v>134</v>
      </c>
      <c r="F184" s="8"/>
      <c r="G184" s="8"/>
    </row>
    <row r="185" customFormat="false" ht="15" hidden="false" customHeight="false" outlineLevel="0" collapsed="false">
      <c r="A185" s="9" t="s">
        <v>1781</v>
      </c>
      <c r="B185" s="9"/>
      <c r="C185" s="9" t="s">
        <v>1791</v>
      </c>
      <c r="D185" s="9" t="s">
        <v>1545</v>
      </c>
      <c r="E185" s="9" t="s">
        <v>139</v>
      </c>
      <c r="F185" s="9"/>
      <c r="G185" s="9" t="s">
        <v>1792</v>
      </c>
    </row>
    <row r="186" customFormat="false" ht="15" hidden="false" customHeight="false" outlineLevel="0" collapsed="false">
      <c r="A186" s="8" t="s">
        <v>1793</v>
      </c>
      <c r="B186" s="8" t="s">
        <v>1794</v>
      </c>
      <c r="C186" s="8" t="s">
        <v>1534</v>
      </c>
      <c r="D186" s="8" t="s">
        <v>1535</v>
      </c>
      <c r="E186" s="8" t="s">
        <v>139</v>
      </c>
      <c r="F186" s="8" t="s">
        <v>1536</v>
      </c>
      <c r="G186" s="8"/>
    </row>
    <row r="187" customFormat="false" ht="15" hidden="false" customHeight="false" outlineLevel="0" collapsed="false">
      <c r="A187" s="9" t="s">
        <v>1793</v>
      </c>
      <c r="B187" s="9"/>
      <c r="C187" s="9" t="s">
        <v>1563</v>
      </c>
      <c r="D187" s="9" t="s">
        <v>1535</v>
      </c>
      <c r="E187" s="9" t="s">
        <v>139</v>
      </c>
      <c r="F187" s="9" t="s">
        <v>1557</v>
      </c>
      <c r="G187" s="9"/>
    </row>
    <row r="188" customFormat="false" ht="15" hidden="false" customHeight="false" outlineLevel="0" collapsed="false">
      <c r="A188" s="8" t="s">
        <v>1793</v>
      </c>
      <c r="B188" s="8"/>
      <c r="C188" s="8" t="s">
        <v>1565</v>
      </c>
      <c r="D188" s="8" t="s">
        <v>1535</v>
      </c>
      <c r="E188" s="8" t="s">
        <v>139</v>
      </c>
      <c r="F188" s="8" t="s">
        <v>1635</v>
      </c>
      <c r="G188" s="8"/>
    </row>
    <row r="189" customFormat="false" ht="15" hidden="false" customHeight="false" outlineLevel="0" collapsed="false">
      <c r="A189" s="9" t="s">
        <v>1793</v>
      </c>
      <c r="B189" s="9"/>
      <c r="C189" s="9" t="s">
        <v>1795</v>
      </c>
      <c r="D189" s="9" t="s">
        <v>1539</v>
      </c>
      <c r="E189" s="9" t="s">
        <v>139</v>
      </c>
      <c r="F189" s="9"/>
      <c r="G189" s="9" t="s">
        <v>1796</v>
      </c>
    </row>
    <row r="190" customFormat="false" ht="15" hidden="false" customHeight="false" outlineLevel="0" collapsed="false">
      <c r="A190" s="8" t="s">
        <v>1793</v>
      </c>
      <c r="B190" s="8"/>
      <c r="C190" s="8" t="s">
        <v>1797</v>
      </c>
      <c r="D190" s="8" t="s">
        <v>1589</v>
      </c>
      <c r="E190" s="8" t="s">
        <v>139</v>
      </c>
      <c r="F190" s="8"/>
      <c r="G190" s="8"/>
    </row>
    <row r="191" customFormat="false" ht="15" hidden="false" customHeight="false" outlineLevel="0" collapsed="false">
      <c r="A191" s="9" t="s">
        <v>1793</v>
      </c>
      <c r="B191" s="9"/>
      <c r="C191" s="9" t="s">
        <v>1798</v>
      </c>
      <c r="D191" s="9" t="s">
        <v>1621</v>
      </c>
      <c r="E191" s="9" t="s">
        <v>134</v>
      </c>
      <c r="F191" s="9"/>
      <c r="G191" s="9"/>
    </row>
    <row r="192" customFormat="false" ht="15" hidden="false" customHeight="false" outlineLevel="0" collapsed="false">
      <c r="A192" s="8" t="s">
        <v>1799</v>
      </c>
      <c r="B192" s="8" t="s">
        <v>1800</v>
      </c>
      <c r="C192" s="8" t="s">
        <v>1534</v>
      </c>
      <c r="D192" s="8" t="s">
        <v>1535</v>
      </c>
      <c r="E192" s="8" t="s">
        <v>139</v>
      </c>
      <c r="F192" s="8" t="s">
        <v>1536</v>
      </c>
      <c r="G192" s="8"/>
    </row>
    <row r="193" customFormat="false" ht="15" hidden="false" customHeight="false" outlineLevel="0" collapsed="false">
      <c r="A193" s="9" t="s">
        <v>1799</v>
      </c>
      <c r="B193" s="9"/>
      <c r="C193" s="9" t="s">
        <v>1685</v>
      </c>
      <c r="D193" s="9" t="s">
        <v>1535</v>
      </c>
      <c r="E193" s="9" t="s">
        <v>139</v>
      </c>
      <c r="F193" s="9" t="s">
        <v>1686</v>
      </c>
      <c r="G193" s="9"/>
    </row>
    <row r="194" customFormat="false" ht="15" hidden="false" customHeight="false" outlineLevel="0" collapsed="false">
      <c r="A194" s="8" t="s">
        <v>1799</v>
      </c>
      <c r="B194" s="8"/>
      <c r="C194" s="8" t="s">
        <v>1795</v>
      </c>
      <c r="D194" s="8" t="s">
        <v>1539</v>
      </c>
      <c r="E194" s="8" t="s">
        <v>139</v>
      </c>
      <c r="F194" s="8"/>
      <c r="G194" s="8" t="s">
        <v>1801</v>
      </c>
    </row>
    <row r="195" customFormat="false" ht="15" hidden="false" customHeight="false" outlineLevel="0" collapsed="false">
      <c r="A195" s="9" t="s">
        <v>1799</v>
      </c>
      <c r="B195" s="9"/>
      <c r="C195" s="9" t="s">
        <v>1802</v>
      </c>
      <c r="D195" s="9" t="s">
        <v>1539</v>
      </c>
      <c r="E195" s="9" t="s">
        <v>139</v>
      </c>
      <c r="F195" s="9"/>
      <c r="G195" s="9"/>
    </row>
    <row r="196" customFormat="false" ht="15" hidden="false" customHeight="false" outlineLevel="0" collapsed="false">
      <c r="A196" s="8" t="s">
        <v>1803</v>
      </c>
      <c r="B196" s="8" t="s">
        <v>1804</v>
      </c>
      <c r="C196" s="8" t="s">
        <v>1534</v>
      </c>
      <c r="D196" s="8" t="s">
        <v>1535</v>
      </c>
      <c r="E196" s="8" t="s">
        <v>139</v>
      </c>
      <c r="F196" s="8" t="s">
        <v>1536</v>
      </c>
      <c r="G196" s="8"/>
    </row>
    <row r="197" customFormat="false" ht="15" hidden="false" customHeight="false" outlineLevel="0" collapsed="false">
      <c r="A197" s="9" t="s">
        <v>1803</v>
      </c>
      <c r="B197" s="9"/>
      <c r="C197" s="9" t="s">
        <v>1563</v>
      </c>
      <c r="D197" s="9" t="s">
        <v>1535</v>
      </c>
      <c r="E197" s="9" t="s">
        <v>139</v>
      </c>
      <c r="F197" s="9" t="s">
        <v>1557</v>
      </c>
      <c r="G197" s="9"/>
    </row>
    <row r="198" customFormat="false" ht="15" hidden="false" customHeight="false" outlineLevel="0" collapsed="false">
      <c r="A198" s="8" t="s">
        <v>1803</v>
      </c>
      <c r="B198" s="8"/>
      <c r="C198" s="8" t="s">
        <v>1805</v>
      </c>
      <c r="D198" s="8" t="s">
        <v>1559</v>
      </c>
      <c r="E198" s="8" t="s">
        <v>139</v>
      </c>
      <c r="F198" s="8"/>
      <c r="G198" s="8" t="s">
        <v>1806</v>
      </c>
    </row>
    <row r="199" customFormat="false" ht="15" hidden="false" customHeight="false" outlineLevel="0" collapsed="false">
      <c r="A199" s="9" t="s">
        <v>1803</v>
      </c>
      <c r="B199" s="9"/>
      <c r="C199" s="9" t="s">
        <v>1739</v>
      </c>
      <c r="D199" s="9" t="s">
        <v>1539</v>
      </c>
      <c r="E199" s="9" t="s">
        <v>139</v>
      </c>
      <c r="F199" s="9"/>
      <c r="G199" s="9" t="s">
        <v>1807</v>
      </c>
    </row>
    <row r="200" customFormat="false" ht="15" hidden="false" customHeight="false" outlineLevel="0" collapsed="false">
      <c r="A200" s="8" t="s">
        <v>1803</v>
      </c>
      <c r="B200" s="8"/>
      <c r="C200" s="8" t="s">
        <v>1808</v>
      </c>
      <c r="D200" s="8" t="s">
        <v>1535</v>
      </c>
      <c r="E200" s="8" t="s">
        <v>134</v>
      </c>
      <c r="F200" s="8"/>
      <c r="G200" s="8" t="s">
        <v>1809</v>
      </c>
    </row>
    <row r="201" customFormat="false" ht="15" hidden="false" customHeight="false" outlineLevel="0" collapsed="false">
      <c r="A201" s="9" t="s">
        <v>1810</v>
      </c>
      <c r="B201" s="9" t="s">
        <v>1811</v>
      </c>
      <c r="C201" s="9" t="s">
        <v>1534</v>
      </c>
      <c r="D201" s="9" t="s">
        <v>1535</v>
      </c>
      <c r="E201" s="9" t="s">
        <v>139</v>
      </c>
      <c r="F201" s="9" t="s">
        <v>1536</v>
      </c>
      <c r="G201" s="9"/>
    </row>
    <row r="202" customFormat="false" ht="15" hidden="false" customHeight="false" outlineLevel="0" collapsed="false">
      <c r="A202" s="8" t="s">
        <v>1810</v>
      </c>
      <c r="B202" s="8"/>
      <c r="C202" s="8" t="s">
        <v>1669</v>
      </c>
      <c r="D202" s="8" t="s">
        <v>1539</v>
      </c>
      <c r="E202" s="8" t="s">
        <v>139</v>
      </c>
      <c r="F202" s="8"/>
      <c r="G202" s="8"/>
    </row>
    <row r="203" customFormat="false" ht="15" hidden="false" customHeight="false" outlineLevel="0" collapsed="false">
      <c r="A203" s="9" t="s">
        <v>1810</v>
      </c>
      <c r="B203" s="9"/>
      <c r="C203" s="9" t="s">
        <v>1812</v>
      </c>
      <c r="D203" s="9" t="s">
        <v>1539</v>
      </c>
      <c r="E203" s="9" t="s">
        <v>139</v>
      </c>
      <c r="F203" s="9"/>
      <c r="G203" s="9"/>
    </row>
    <row r="204" customFormat="false" ht="15" hidden="false" customHeight="false" outlineLevel="0" collapsed="false">
      <c r="A204" s="8" t="s">
        <v>1810</v>
      </c>
      <c r="B204" s="8"/>
      <c r="C204" s="8" t="s">
        <v>1813</v>
      </c>
      <c r="D204" s="8" t="s">
        <v>1559</v>
      </c>
      <c r="E204" s="8" t="s">
        <v>139</v>
      </c>
      <c r="F204" s="8"/>
      <c r="G204" s="8"/>
    </row>
    <row r="205" customFormat="false" ht="15" hidden="false" customHeight="false" outlineLevel="0" collapsed="false">
      <c r="A205" s="9" t="s">
        <v>1810</v>
      </c>
      <c r="B205" s="9"/>
      <c r="C205" s="9" t="s">
        <v>1814</v>
      </c>
      <c r="D205" s="9" t="s">
        <v>1559</v>
      </c>
      <c r="E205" s="9" t="s">
        <v>139</v>
      </c>
      <c r="F205" s="9"/>
      <c r="G205" s="9"/>
    </row>
    <row r="206" customFormat="false" ht="15" hidden="false" customHeight="false" outlineLevel="0" collapsed="false">
      <c r="A206" s="8" t="s">
        <v>1810</v>
      </c>
      <c r="B206" s="8"/>
      <c r="C206" s="8" t="s">
        <v>1815</v>
      </c>
      <c r="D206" s="8" t="s">
        <v>1816</v>
      </c>
      <c r="E206" s="8" t="s">
        <v>139</v>
      </c>
      <c r="F206" s="8"/>
      <c r="G206" s="8"/>
    </row>
    <row r="207" customFormat="false" ht="15" hidden="false" customHeight="false" outlineLevel="0" collapsed="false">
      <c r="A207" s="9" t="s">
        <v>1810</v>
      </c>
      <c r="B207" s="9"/>
      <c r="C207" s="9" t="s">
        <v>1687</v>
      </c>
      <c r="D207" s="9" t="s">
        <v>1539</v>
      </c>
      <c r="E207" s="9" t="s">
        <v>139</v>
      </c>
      <c r="F207" s="9"/>
      <c r="G207" s="9" t="s">
        <v>1817</v>
      </c>
    </row>
    <row r="208" customFormat="false" ht="23.85" hidden="false" customHeight="false" outlineLevel="0" collapsed="false">
      <c r="A208" s="8" t="s">
        <v>1818</v>
      </c>
      <c r="B208" s="8" t="s">
        <v>1819</v>
      </c>
      <c r="C208" s="8" t="s">
        <v>1534</v>
      </c>
      <c r="D208" s="8" t="s">
        <v>1535</v>
      </c>
      <c r="E208" s="8" t="s">
        <v>139</v>
      </c>
      <c r="F208" s="8" t="s">
        <v>1536</v>
      </c>
      <c r="G208" s="8"/>
    </row>
    <row r="209" customFormat="false" ht="15" hidden="false" customHeight="false" outlineLevel="0" collapsed="false">
      <c r="A209" s="9" t="s">
        <v>1818</v>
      </c>
      <c r="B209" s="9"/>
      <c r="C209" s="9" t="s">
        <v>1563</v>
      </c>
      <c r="D209" s="9" t="s">
        <v>1535</v>
      </c>
      <c r="E209" s="9" t="s">
        <v>134</v>
      </c>
      <c r="F209" s="9" t="s">
        <v>1557</v>
      </c>
      <c r="G209" s="9"/>
    </row>
    <row r="210" customFormat="false" ht="15" hidden="false" customHeight="false" outlineLevel="0" collapsed="false">
      <c r="A210" s="8" t="s">
        <v>1818</v>
      </c>
      <c r="B210" s="8"/>
      <c r="C210" s="8" t="s">
        <v>1685</v>
      </c>
      <c r="D210" s="8" t="s">
        <v>1535</v>
      </c>
      <c r="E210" s="8" t="s">
        <v>134</v>
      </c>
      <c r="F210" s="8" t="s">
        <v>1686</v>
      </c>
      <c r="G210" s="8"/>
    </row>
    <row r="211" customFormat="false" ht="15" hidden="false" customHeight="false" outlineLevel="0" collapsed="false">
      <c r="A211" s="9" t="s">
        <v>1818</v>
      </c>
      <c r="B211" s="9"/>
      <c r="C211" s="9" t="s">
        <v>1820</v>
      </c>
      <c r="D211" s="9" t="s">
        <v>1539</v>
      </c>
      <c r="E211" s="9" t="s">
        <v>139</v>
      </c>
      <c r="F211" s="9"/>
      <c r="G211" s="9"/>
    </row>
    <row r="212" customFormat="false" ht="15" hidden="false" customHeight="false" outlineLevel="0" collapsed="false">
      <c r="A212" s="8" t="s">
        <v>1818</v>
      </c>
      <c r="B212" s="8"/>
      <c r="C212" s="8" t="s">
        <v>1821</v>
      </c>
      <c r="D212" s="8" t="s">
        <v>1550</v>
      </c>
      <c r="E212" s="8" t="s">
        <v>139</v>
      </c>
      <c r="F212" s="8"/>
      <c r="G212" s="8"/>
    </row>
    <row r="213" customFormat="false" ht="15" hidden="false" customHeight="false" outlineLevel="0" collapsed="false">
      <c r="A213" s="9" t="s">
        <v>1818</v>
      </c>
      <c r="B213" s="9"/>
      <c r="C213" s="9" t="s">
        <v>1815</v>
      </c>
      <c r="D213" s="9" t="s">
        <v>1816</v>
      </c>
      <c r="E213" s="9" t="s">
        <v>139</v>
      </c>
      <c r="F213" s="9"/>
      <c r="G213" s="9"/>
    </row>
    <row r="214" customFormat="false" ht="15" hidden="false" customHeight="false" outlineLevel="0" collapsed="false">
      <c r="A214" s="8" t="s">
        <v>1822</v>
      </c>
      <c r="B214" s="8" t="s">
        <v>1823</v>
      </c>
      <c r="C214" s="8" t="s">
        <v>1534</v>
      </c>
      <c r="D214" s="8" t="s">
        <v>1824</v>
      </c>
      <c r="E214" s="8" t="s">
        <v>139</v>
      </c>
      <c r="F214" s="8" t="s">
        <v>1825</v>
      </c>
      <c r="G214" s="8"/>
    </row>
    <row r="215" customFormat="false" ht="15" hidden="false" customHeight="false" outlineLevel="0" collapsed="false">
      <c r="A215" s="9" t="s">
        <v>1822</v>
      </c>
      <c r="B215" s="9"/>
      <c r="C215" s="9" t="s">
        <v>1563</v>
      </c>
      <c r="D215" s="9" t="s">
        <v>1535</v>
      </c>
      <c r="E215" s="9" t="s">
        <v>134</v>
      </c>
      <c r="F215" s="9"/>
      <c r="G215" s="9"/>
    </row>
    <row r="216" customFormat="false" ht="15" hidden="false" customHeight="false" outlineLevel="0" collapsed="false">
      <c r="A216" s="8" t="s">
        <v>1822</v>
      </c>
      <c r="B216" s="8"/>
      <c r="C216" s="8" t="s">
        <v>1565</v>
      </c>
      <c r="D216" s="8" t="s">
        <v>1535</v>
      </c>
      <c r="E216" s="8" t="s">
        <v>134</v>
      </c>
      <c r="F216" s="8"/>
      <c r="G216" s="8"/>
    </row>
    <row r="217" customFormat="false" ht="15" hidden="false" customHeight="false" outlineLevel="0" collapsed="false">
      <c r="A217" s="9" t="s">
        <v>1822</v>
      </c>
      <c r="B217" s="9"/>
      <c r="C217" s="9" t="s">
        <v>1826</v>
      </c>
      <c r="D217" s="9" t="s">
        <v>1539</v>
      </c>
      <c r="E217" s="9" t="s">
        <v>139</v>
      </c>
      <c r="F217" s="9"/>
      <c r="G217" s="9"/>
    </row>
    <row r="218" customFormat="false" ht="15" hidden="false" customHeight="false" outlineLevel="0" collapsed="false">
      <c r="A218" s="8" t="s">
        <v>1822</v>
      </c>
      <c r="B218" s="8"/>
      <c r="C218" s="8" t="s">
        <v>1827</v>
      </c>
      <c r="D218" s="8" t="s">
        <v>1535</v>
      </c>
      <c r="E218" s="8" t="s">
        <v>139</v>
      </c>
      <c r="F218" s="8"/>
      <c r="G218" s="8"/>
    </row>
    <row r="219" customFormat="false" ht="15" hidden="false" customHeight="false" outlineLevel="0" collapsed="false">
      <c r="A219" s="9" t="s">
        <v>1822</v>
      </c>
      <c r="B219" s="9"/>
      <c r="C219" s="9" t="s">
        <v>1828</v>
      </c>
      <c r="D219" s="9" t="s">
        <v>1589</v>
      </c>
      <c r="E219" s="9" t="s">
        <v>139</v>
      </c>
      <c r="F219" s="9"/>
      <c r="G219" s="9"/>
    </row>
    <row r="220" customFormat="false" ht="23.85" hidden="false" customHeight="false" outlineLevel="0" collapsed="false">
      <c r="A220" s="8" t="s">
        <v>1829</v>
      </c>
      <c r="B220" s="8" t="s">
        <v>1830</v>
      </c>
      <c r="C220" s="8" t="s">
        <v>1534</v>
      </c>
      <c r="D220" s="8" t="s">
        <v>1535</v>
      </c>
      <c r="E220" s="8" t="s">
        <v>139</v>
      </c>
      <c r="F220" s="8" t="s">
        <v>1536</v>
      </c>
      <c r="G220" s="8"/>
    </row>
    <row r="221" customFormat="false" ht="15" hidden="false" customHeight="false" outlineLevel="0" collapsed="false">
      <c r="A221" s="9" t="s">
        <v>1829</v>
      </c>
      <c r="B221" s="9"/>
      <c r="C221" s="9" t="s">
        <v>1732</v>
      </c>
      <c r="D221" s="9" t="s">
        <v>1535</v>
      </c>
      <c r="E221" s="9" t="s">
        <v>139</v>
      </c>
      <c r="F221" s="9" t="s">
        <v>1733</v>
      </c>
      <c r="G221" s="9"/>
    </row>
    <row r="222" customFormat="false" ht="15" hidden="false" customHeight="false" outlineLevel="0" collapsed="false">
      <c r="A222" s="8" t="s">
        <v>1829</v>
      </c>
      <c r="B222" s="8"/>
      <c r="C222" s="8" t="s">
        <v>1831</v>
      </c>
      <c r="D222" s="8" t="s">
        <v>1539</v>
      </c>
      <c r="E222" s="8" t="s">
        <v>139</v>
      </c>
      <c r="F222" s="8"/>
      <c r="G222" s="8" t="s">
        <v>1832</v>
      </c>
    </row>
    <row r="223" customFormat="false" ht="15" hidden="false" customHeight="false" outlineLevel="0" collapsed="false">
      <c r="A223" s="9" t="s">
        <v>1829</v>
      </c>
      <c r="B223" s="9"/>
      <c r="C223" s="9" t="s">
        <v>1833</v>
      </c>
      <c r="D223" s="9" t="s">
        <v>1539</v>
      </c>
      <c r="E223" s="9" t="s">
        <v>139</v>
      </c>
      <c r="F223" s="9"/>
      <c r="G223" s="9" t="s">
        <v>1834</v>
      </c>
    </row>
    <row r="224" customFormat="false" ht="15" hidden="false" customHeight="false" outlineLevel="0" collapsed="false">
      <c r="A224" s="8" t="s">
        <v>1829</v>
      </c>
      <c r="B224" s="8"/>
      <c r="C224" s="8" t="s">
        <v>1835</v>
      </c>
      <c r="D224" s="8" t="s">
        <v>1539</v>
      </c>
      <c r="E224" s="8" t="s">
        <v>134</v>
      </c>
      <c r="F224" s="8"/>
      <c r="G224" s="8"/>
    </row>
    <row r="225" customFormat="false" ht="15" hidden="false" customHeight="false" outlineLevel="0" collapsed="false">
      <c r="A225" s="9" t="s">
        <v>1829</v>
      </c>
      <c r="B225" s="9"/>
      <c r="C225" s="9" t="s">
        <v>1836</v>
      </c>
      <c r="D225" s="9" t="s">
        <v>1539</v>
      </c>
      <c r="E225" s="9" t="s">
        <v>134</v>
      </c>
      <c r="F225" s="9"/>
      <c r="G225" s="9"/>
    </row>
    <row r="226" customFormat="false" ht="23.85" hidden="false" customHeight="false" outlineLevel="0" collapsed="false">
      <c r="A226" s="8" t="s">
        <v>1829</v>
      </c>
      <c r="B226" s="8"/>
      <c r="C226" s="8" t="s">
        <v>1837</v>
      </c>
      <c r="D226" s="8" t="s">
        <v>1539</v>
      </c>
      <c r="E226" s="8" t="s">
        <v>139</v>
      </c>
      <c r="F226" s="8"/>
      <c r="G226" s="8" t="s">
        <v>1838</v>
      </c>
    </row>
    <row r="227" customFormat="false" ht="15" hidden="false" customHeight="false" outlineLevel="0" collapsed="false">
      <c r="A227" s="9" t="s">
        <v>1829</v>
      </c>
      <c r="B227" s="9"/>
      <c r="C227" s="9" t="s">
        <v>1711</v>
      </c>
      <c r="D227" s="9" t="s">
        <v>1539</v>
      </c>
      <c r="E227" s="9" t="s">
        <v>139</v>
      </c>
      <c r="F227" s="9"/>
      <c r="G227" s="9" t="s">
        <v>1712</v>
      </c>
    </row>
    <row r="228" customFormat="false" ht="15" hidden="false" customHeight="false" outlineLevel="0" collapsed="false">
      <c r="A228" s="8" t="s">
        <v>1829</v>
      </c>
      <c r="B228" s="8"/>
      <c r="C228" s="8" t="s">
        <v>1839</v>
      </c>
      <c r="D228" s="8" t="s">
        <v>1545</v>
      </c>
      <c r="E228" s="8" t="s">
        <v>139</v>
      </c>
      <c r="F228" s="8"/>
      <c r="G228" s="8"/>
    </row>
    <row r="229" customFormat="false" ht="15" hidden="false" customHeight="false" outlineLevel="0" collapsed="false">
      <c r="A229" s="9" t="s">
        <v>1829</v>
      </c>
      <c r="B229" s="9"/>
      <c r="C229" s="9" t="s">
        <v>1616</v>
      </c>
      <c r="D229" s="9" t="s">
        <v>1539</v>
      </c>
      <c r="E229" s="9" t="s">
        <v>134</v>
      </c>
      <c r="F229" s="9"/>
      <c r="G229" s="9"/>
    </row>
    <row r="230" customFormat="false" ht="15" hidden="false" customHeight="false" outlineLevel="0" collapsed="false">
      <c r="A230" s="8" t="s">
        <v>1829</v>
      </c>
      <c r="B230" s="8"/>
      <c r="C230" s="8" t="s">
        <v>1728</v>
      </c>
      <c r="D230" s="8" t="s">
        <v>1621</v>
      </c>
      <c r="E230" s="8" t="s">
        <v>134</v>
      </c>
      <c r="F230" s="8"/>
      <c r="G230" s="8"/>
    </row>
    <row r="231" customFormat="false" ht="15" hidden="false" customHeight="false" outlineLevel="0" collapsed="false">
      <c r="A231" s="9" t="s">
        <v>1829</v>
      </c>
      <c r="B231" s="9"/>
      <c r="C231" s="9" t="s">
        <v>1840</v>
      </c>
      <c r="D231" s="9" t="s">
        <v>1545</v>
      </c>
      <c r="E231" s="9" t="s">
        <v>139</v>
      </c>
      <c r="F231" s="9"/>
      <c r="G231" s="9" t="s">
        <v>1841</v>
      </c>
    </row>
    <row r="232" customFormat="false" ht="15" hidden="false" customHeight="false" outlineLevel="0" collapsed="false">
      <c r="A232" s="8" t="s">
        <v>1829</v>
      </c>
      <c r="B232" s="8"/>
      <c r="C232" s="8" t="s">
        <v>1842</v>
      </c>
      <c r="D232" s="8" t="s">
        <v>1539</v>
      </c>
      <c r="E232" s="8" t="s">
        <v>134</v>
      </c>
      <c r="F232" s="8"/>
      <c r="G232" s="8" t="s">
        <v>1843</v>
      </c>
    </row>
    <row r="233" customFormat="false" ht="15" hidden="false" customHeight="false" outlineLevel="0" collapsed="false">
      <c r="A233" s="9" t="s">
        <v>1829</v>
      </c>
      <c r="B233" s="9"/>
      <c r="C233" s="9" t="s">
        <v>1844</v>
      </c>
      <c r="D233" s="9" t="s">
        <v>1535</v>
      </c>
      <c r="E233" s="9" t="s">
        <v>134</v>
      </c>
      <c r="F233" s="9"/>
      <c r="G233" s="9" t="s">
        <v>1845</v>
      </c>
    </row>
    <row r="234" customFormat="false" ht="23.85" hidden="false" customHeight="false" outlineLevel="0" collapsed="false">
      <c r="A234" s="8" t="s">
        <v>1846</v>
      </c>
      <c r="B234" s="8" t="s">
        <v>1847</v>
      </c>
      <c r="C234" s="8" t="s">
        <v>1534</v>
      </c>
      <c r="D234" s="8" t="s">
        <v>1535</v>
      </c>
      <c r="E234" s="8" t="s">
        <v>139</v>
      </c>
      <c r="F234" s="8" t="s">
        <v>1536</v>
      </c>
      <c r="G234" s="8"/>
    </row>
    <row r="235" customFormat="false" ht="15" hidden="false" customHeight="false" outlineLevel="0" collapsed="false">
      <c r="A235" s="9" t="s">
        <v>1846</v>
      </c>
      <c r="B235" s="9"/>
      <c r="C235" s="9" t="s">
        <v>1680</v>
      </c>
      <c r="D235" s="9" t="s">
        <v>1535</v>
      </c>
      <c r="E235" s="9" t="s">
        <v>139</v>
      </c>
      <c r="F235" s="9" t="s">
        <v>1681</v>
      </c>
      <c r="G235" s="9"/>
    </row>
    <row r="236" customFormat="false" ht="15" hidden="false" customHeight="false" outlineLevel="0" collapsed="false">
      <c r="A236" s="8" t="s">
        <v>1846</v>
      </c>
      <c r="B236" s="8"/>
      <c r="C236" s="8" t="s">
        <v>1831</v>
      </c>
      <c r="D236" s="8" t="s">
        <v>1539</v>
      </c>
      <c r="E236" s="8" t="s">
        <v>139</v>
      </c>
      <c r="F236" s="8"/>
      <c r="G236" s="8"/>
    </row>
    <row r="237" customFormat="false" ht="15" hidden="false" customHeight="false" outlineLevel="0" collapsed="false">
      <c r="A237" s="9" t="s">
        <v>1846</v>
      </c>
      <c r="B237" s="9"/>
      <c r="C237" s="9" t="s">
        <v>1835</v>
      </c>
      <c r="D237" s="9" t="s">
        <v>1539</v>
      </c>
      <c r="E237" s="9" t="s">
        <v>139</v>
      </c>
      <c r="F237" s="9"/>
      <c r="G237" s="9"/>
    </row>
    <row r="238" customFormat="false" ht="15" hidden="false" customHeight="false" outlineLevel="0" collapsed="false">
      <c r="A238" s="8" t="s">
        <v>1846</v>
      </c>
      <c r="B238" s="8"/>
      <c r="C238" s="8" t="s">
        <v>1638</v>
      </c>
      <c r="D238" s="8" t="s">
        <v>1539</v>
      </c>
      <c r="E238" s="8" t="s">
        <v>139</v>
      </c>
      <c r="F238" s="8"/>
      <c r="G238" s="8" t="s">
        <v>1848</v>
      </c>
    </row>
    <row r="239" customFormat="false" ht="15" hidden="false" customHeight="false" outlineLevel="0" collapsed="false">
      <c r="A239" s="9" t="s">
        <v>1846</v>
      </c>
      <c r="B239" s="9"/>
      <c r="C239" s="9" t="s">
        <v>1616</v>
      </c>
      <c r="D239" s="9" t="s">
        <v>1539</v>
      </c>
      <c r="E239" s="9" t="s">
        <v>134</v>
      </c>
      <c r="F239" s="9"/>
      <c r="G239" s="9"/>
    </row>
    <row r="240" customFormat="false" ht="15" hidden="false" customHeight="false" outlineLevel="0" collapsed="false">
      <c r="A240" s="8" t="s">
        <v>1846</v>
      </c>
      <c r="B240" s="8"/>
      <c r="C240" s="8" t="s">
        <v>1728</v>
      </c>
      <c r="D240" s="8" t="s">
        <v>1621</v>
      </c>
      <c r="E240" s="8" t="s">
        <v>139</v>
      </c>
      <c r="F240" s="8"/>
      <c r="G240" s="8"/>
    </row>
    <row r="241" customFormat="false" ht="15" hidden="false" customHeight="false" outlineLevel="0" collapsed="false">
      <c r="A241" s="9" t="s">
        <v>1849</v>
      </c>
      <c r="B241" s="9" t="s">
        <v>1850</v>
      </c>
      <c r="C241" s="9" t="s">
        <v>1534</v>
      </c>
      <c r="D241" s="9" t="s">
        <v>1535</v>
      </c>
      <c r="E241" s="9" t="s">
        <v>139</v>
      </c>
      <c r="F241" s="9" t="s">
        <v>1536</v>
      </c>
      <c r="G241" s="9"/>
    </row>
    <row r="242" customFormat="false" ht="15" hidden="false" customHeight="false" outlineLevel="0" collapsed="false">
      <c r="A242" s="8" t="s">
        <v>1849</v>
      </c>
      <c r="B242" s="8"/>
      <c r="C242" s="8" t="s">
        <v>1851</v>
      </c>
      <c r="D242" s="8" t="s">
        <v>1852</v>
      </c>
      <c r="E242" s="8" t="s">
        <v>139</v>
      </c>
      <c r="F242" s="8" t="s">
        <v>1602</v>
      </c>
      <c r="G242" s="8"/>
    </row>
    <row r="243" customFormat="false" ht="15" hidden="false" customHeight="false" outlineLevel="0" collapsed="false">
      <c r="A243" s="9" t="s">
        <v>1849</v>
      </c>
      <c r="B243" s="9"/>
      <c r="C243" s="9" t="s">
        <v>1853</v>
      </c>
      <c r="D243" s="9" t="s">
        <v>1539</v>
      </c>
      <c r="E243" s="9" t="s">
        <v>134</v>
      </c>
      <c r="F243" s="9"/>
      <c r="G243" s="9" t="s">
        <v>1854</v>
      </c>
    </row>
    <row r="244" customFormat="false" ht="15" hidden="false" customHeight="false" outlineLevel="0" collapsed="false">
      <c r="A244" s="8" t="s">
        <v>1849</v>
      </c>
      <c r="B244" s="8"/>
      <c r="C244" s="8" t="s">
        <v>1855</v>
      </c>
      <c r="D244" s="8" t="s">
        <v>1589</v>
      </c>
      <c r="E244" s="8" t="s">
        <v>134</v>
      </c>
      <c r="F244" s="8"/>
      <c r="G244" s="8"/>
    </row>
    <row r="245" customFormat="false" ht="15" hidden="false" customHeight="false" outlineLevel="0" collapsed="false">
      <c r="A245" s="9" t="s">
        <v>1849</v>
      </c>
      <c r="B245" s="9"/>
      <c r="C245" s="9" t="s">
        <v>1856</v>
      </c>
      <c r="D245" s="9" t="s">
        <v>1545</v>
      </c>
      <c r="E245" s="9" t="s">
        <v>139</v>
      </c>
      <c r="F245" s="9"/>
      <c r="G245" s="9"/>
    </row>
    <row r="246" customFormat="false" ht="15" hidden="false" customHeight="false" outlineLevel="0" collapsed="false">
      <c r="A246" s="8" t="s">
        <v>1849</v>
      </c>
      <c r="B246" s="8"/>
      <c r="C246" s="8" t="s">
        <v>1857</v>
      </c>
      <c r="D246" s="8" t="s">
        <v>1535</v>
      </c>
      <c r="E246" s="8" t="s">
        <v>134</v>
      </c>
      <c r="F246" s="8" t="s">
        <v>1557</v>
      </c>
      <c r="G246" s="8"/>
    </row>
    <row r="247" customFormat="false" ht="15" hidden="false" customHeight="false" outlineLevel="0" collapsed="false">
      <c r="A247" s="9" t="s">
        <v>1858</v>
      </c>
      <c r="B247" s="9" t="s">
        <v>1859</v>
      </c>
      <c r="C247" s="9" t="s">
        <v>1534</v>
      </c>
      <c r="D247" s="9" t="s">
        <v>1535</v>
      </c>
      <c r="E247" s="9" t="s">
        <v>139</v>
      </c>
      <c r="F247" s="9" t="s">
        <v>1536</v>
      </c>
      <c r="G247" s="9"/>
    </row>
    <row r="248" customFormat="false" ht="15" hidden="false" customHeight="false" outlineLevel="0" collapsed="false">
      <c r="A248" s="8" t="s">
        <v>1858</v>
      </c>
      <c r="B248" s="8"/>
      <c r="C248" s="8" t="s">
        <v>1860</v>
      </c>
      <c r="D248" s="8" t="s">
        <v>1535</v>
      </c>
      <c r="E248" s="8" t="s">
        <v>139</v>
      </c>
      <c r="F248" s="8" t="s">
        <v>1557</v>
      </c>
      <c r="G248" s="8"/>
    </row>
    <row r="249" customFormat="false" ht="15" hidden="false" customHeight="false" outlineLevel="0" collapsed="false">
      <c r="A249" s="9" t="s">
        <v>1858</v>
      </c>
      <c r="B249" s="9"/>
      <c r="C249" s="9" t="s">
        <v>1861</v>
      </c>
      <c r="D249" s="9" t="s">
        <v>1539</v>
      </c>
      <c r="E249" s="9" t="s">
        <v>139</v>
      </c>
      <c r="F249" s="9" t="s">
        <v>1602</v>
      </c>
      <c r="G249" s="9"/>
    </row>
    <row r="250" customFormat="false" ht="15" hidden="false" customHeight="false" outlineLevel="0" collapsed="false">
      <c r="A250" s="8" t="s">
        <v>1858</v>
      </c>
      <c r="B250" s="8"/>
      <c r="C250" s="8" t="s">
        <v>1862</v>
      </c>
      <c r="D250" s="8" t="s">
        <v>1535</v>
      </c>
      <c r="E250" s="8" t="s">
        <v>134</v>
      </c>
      <c r="F250" s="8" t="s">
        <v>1557</v>
      </c>
      <c r="G250" s="8"/>
    </row>
    <row r="251" customFormat="false" ht="15" hidden="false" customHeight="false" outlineLevel="0" collapsed="false">
      <c r="A251" s="9" t="s">
        <v>1858</v>
      </c>
      <c r="B251" s="9"/>
      <c r="C251" s="9" t="s">
        <v>1642</v>
      </c>
      <c r="D251" s="9" t="s">
        <v>1539</v>
      </c>
      <c r="E251" s="9" t="s">
        <v>139</v>
      </c>
      <c r="F251" s="9"/>
      <c r="G251" s="9" t="s">
        <v>1863</v>
      </c>
    </row>
    <row r="252" customFormat="false" ht="15" hidden="false" customHeight="false" outlineLevel="0" collapsed="false">
      <c r="A252" s="8" t="s">
        <v>1864</v>
      </c>
      <c r="B252" s="8" t="s">
        <v>1865</v>
      </c>
      <c r="C252" s="8" t="s">
        <v>1534</v>
      </c>
      <c r="D252" s="8" t="s">
        <v>1535</v>
      </c>
      <c r="E252" s="8" t="s">
        <v>139</v>
      </c>
      <c r="F252" s="8" t="s">
        <v>1536</v>
      </c>
      <c r="G252" s="8"/>
    </row>
    <row r="253" customFormat="false" ht="15" hidden="false" customHeight="false" outlineLevel="0" collapsed="false">
      <c r="A253" s="9" t="s">
        <v>1864</v>
      </c>
      <c r="B253" s="9"/>
      <c r="C253" s="9" t="s">
        <v>1680</v>
      </c>
      <c r="D253" s="9" t="s">
        <v>1535</v>
      </c>
      <c r="E253" s="9" t="s">
        <v>139</v>
      </c>
      <c r="F253" s="9" t="s">
        <v>1681</v>
      </c>
      <c r="G253" s="9"/>
    </row>
    <row r="254" customFormat="false" ht="15" hidden="false" customHeight="false" outlineLevel="0" collapsed="false">
      <c r="A254" s="8" t="s">
        <v>1864</v>
      </c>
      <c r="B254" s="8"/>
      <c r="C254" s="8" t="s">
        <v>1601</v>
      </c>
      <c r="D254" s="8" t="s">
        <v>1539</v>
      </c>
      <c r="E254" s="8" t="s">
        <v>139</v>
      </c>
      <c r="F254" s="8" t="s">
        <v>1602</v>
      </c>
      <c r="G254" s="8"/>
    </row>
    <row r="255" customFormat="false" ht="15" hidden="false" customHeight="false" outlineLevel="0" collapsed="false">
      <c r="A255" s="9" t="s">
        <v>1864</v>
      </c>
      <c r="B255" s="9"/>
      <c r="C255" s="9" t="s">
        <v>1866</v>
      </c>
      <c r="D255" s="9" t="s">
        <v>1589</v>
      </c>
      <c r="E255" s="9" t="s">
        <v>139</v>
      </c>
      <c r="F255" s="9"/>
      <c r="G255" s="9" t="s">
        <v>1867</v>
      </c>
    </row>
    <row r="256" customFormat="false" ht="15" hidden="false" customHeight="false" outlineLevel="0" collapsed="false">
      <c r="A256" s="8" t="s">
        <v>1864</v>
      </c>
      <c r="B256" s="8"/>
      <c r="C256" s="8" t="s">
        <v>1868</v>
      </c>
      <c r="D256" s="8" t="s">
        <v>1559</v>
      </c>
      <c r="E256" s="8" t="s">
        <v>139</v>
      </c>
      <c r="F256" s="8"/>
      <c r="G256" s="8"/>
    </row>
    <row r="257" customFormat="false" ht="15" hidden="false" customHeight="false" outlineLevel="0" collapsed="false">
      <c r="A257" s="9" t="s">
        <v>1864</v>
      </c>
      <c r="B257" s="9"/>
      <c r="C257" s="9" t="s">
        <v>1869</v>
      </c>
      <c r="D257" s="9" t="s">
        <v>1545</v>
      </c>
      <c r="E257" s="9" t="s">
        <v>139</v>
      </c>
      <c r="F257" s="9"/>
      <c r="G257" s="9" t="s">
        <v>1870</v>
      </c>
    </row>
    <row r="258" customFormat="false" ht="15" hidden="false" customHeight="false" outlineLevel="0" collapsed="false">
      <c r="A258" s="8" t="s">
        <v>1864</v>
      </c>
      <c r="B258" s="8"/>
      <c r="C258" s="8" t="s">
        <v>1871</v>
      </c>
      <c r="D258" s="8" t="s">
        <v>1621</v>
      </c>
      <c r="E258" s="8" t="s">
        <v>139</v>
      </c>
      <c r="F258" s="8"/>
      <c r="G258" s="8"/>
    </row>
    <row r="259" customFormat="false" ht="15" hidden="false" customHeight="false" outlineLevel="0" collapsed="false">
      <c r="A259" s="9" t="s">
        <v>1864</v>
      </c>
      <c r="B259" s="9"/>
      <c r="C259" s="9" t="s">
        <v>1763</v>
      </c>
      <c r="D259" s="9" t="s">
        <v>1539</v>
      </c>
      <c r="E259" s="9" t="s">
        <v>139</v>
      </c>
      <c r="F259" s="9" t="s">
        <v>1764</v>
      </c>
      <c r="G259" s="9"/>
    </row>
    <row r="260" customFormat="false" ht="15" hidden="false" customHeight="false" outlineLevel="0" collapsed="false">
      <c r="A260" s="8" t="s">
        <v>1872</v>
      </c>
      <c r="B260" s="8" t="s">
        <v>1873</v>
      </c>
      <c r="C260" s="8" t="s">
        <v>1534</v>
      </c>
      <c r="D260" s="8" t="s">
        <v>1535</v>
      </c>
      <c r="E260" s="8" t="s">
        <v>139</v>
      </c>
      <c r="F260" s="8" t="s">
        <v>1536</v>
      </c>
      <c r="G260" s="8"/>
    </row>
    <row r="261" customFormat="false" ht="15" hidden="false" customHeight="false" outlineLevel="0" collapsed="false">
      <c r="A261" s="9" t="s">
        <v>1872</v>
      </c>
      <c r="B261" s="9"/>
      <c r="C261" s="9" t="s">
        <v>1632</v>
      </c>
      <c r="D261" s="9" t="s">
        <v>1535</v>
      </c>
      <c r="E261" s="9" t="s">
        <v>139</v>
      </c>
      <c r="F261" s="9" t="s">
        <v>1633</v>
      </c>
      <c r="G261" s="9"/>
    </row>
    <row r="262" customFormat="false" ht="15" hidden="false" customHeight="false" outlineLevel="0" collapsed="false">
      <c r="A262" s="8" t="s">
        <v>1872</v>
      </c>
      <c r="B262" s="8"/>
      <c r="C262" s="8" t="s">
        <v>1601</v>
      </c>
      <c r="D262" s="8" t="s">
        <v>1539</v>
      </c>
      <c r="E262" s="8" t="s">
        <v>139</v>
      </c>
      <c r="F262" s="8" t="s">
        <v>1602</v>
      </c>
      <c r="G262" s="8"/>
    </row>
    <row r="263" customFormat="false" ht="15" hidden="false" customHeight="false" outlineLevel="0" collapsed="false">
      <c r="A263" s="9" t="s">
        <v>1872</v>
      </c>
      <c r="B263" s="9"/>
      <c r="C263" s="9" t="s">
        <v>1874</v>
      </c>
      <c r="D263" s="9" t="s">
        <v>1539</v>
      </c>
      <c r="E263" s="9" t="s">
        <v>139</v>
      </c>
      <c r="F263" s="9"/>
      <c r="G263" s="9"/>
    </row>
    <row r="264" customFormat="false" ht="15" hidden="false" customHeight="false" outlineLevel="0" collapsed="false">
      <c r="A264" s="8" t="s">
        <v>1872</v>
      </c>
      <c r="B264" s="8"/>
      <c r="C264" s="8" t="s">
        <v>1715</v>
      </c>
      <c r="D264" s="8" t="s">
        <v>1539</v>
      </c>
      <c r="E264" s="8" t="s">
        <v>139</v>
      </c>
      <c r="F264" s="8"/>
      <c r="G264" s="8"/>
    </row>
    <row r="265" customFormat="false" ht="15" hidden="false" customHeight="false" outlineLevel="0" collapsed="false">
      <c r="A265" s="9" t="s">
        <v>1872</v>
      </c>
      <c r="B265" s="9"/>
      <c r="C265" s="9" t="s">
        <v>1875</v>
      </c>
      <c r="D265" s="9" t="s">
        <v>1589</v>
      </c>
      <c r="E265" s="9" t="s">
        <v>139</v>
      </c>
      <c r="F265" s="9"/>
      <c r="G265" s="9" t="s">
        <v>1876</v>
      </c>
    </row>
    <row r="266" customFormat="false" ht="15" hidden="false" customHeight="false" outlineLevel="0" collapsed="false">
      <c r="A266" s="8" t="s">
        <v>1872</v>
      </c>
      <c r="B266" s="8"/>
      <c r="C266" s="8" t="s">
        <v>1877</v>
      </c>
      <c r="D266" s="8" t="s">
        <v>1621</v>
      </c>
      <c r="E266" s="8" t="s">
        <v>134</v>
      </c>
      <c r="F266" s="8"/>
      <c r="G266" s="8"/>
    </row>
    <row r="267" customFormat="false" ht="23.85" hidden="false" customHeight="false" outlineLevel="0" collapsed="false">
      <c r="A267" s="9" t="s">
        <v>1878</v>
      </c>
      <c r="B267" s="9" t="s">
        <v>1879</v>
      </c>
      <c r="C267" s="9" t="s">
        <v>1534</v>
      </c>
      <c r="D267" s="9" t="s">
        <v>1535</v>
      </c>
      <c r="E267" s="9" t="s">
        <v>139</v>
      </c>
      <c r="F267" s="9" t="s">
        <v>1536</v>
      </c>
      <c r="G267" s="9"/>
    </row>
    <row r="268" customFormat="false" ht="15" hidden="false" customHeight="false" outlineLevel="0" collapsed="false">
      <c r="A268" s="8" t="s">
        <v>1878</v>
      </c>
      <c r="B268" s="8"/>
      <c r="C268" s="8" t="s">
        <v>1880</v>
      </c>
      <c r="D268" s="8" t="s">
        <v>1539</v>
      </c>
      <c r="E268" s="8" t="s">
        <v>139</v>
      </c>
      <c r="F268" s="8"/>
      <c r="G268" s="8" t="s">
        <v>1881</v>
      </c>
    </row>
    <row r="269" customFormat="false" ht="15" hidden="false" customHeight="false" outlineLevel="0" collapsed="false">
      <c r="A269" s="9" t="s">
        <v>1878</v>
      </c>
      <c r="B269" s="9"/>
      <c r="C269" s="9" t="s">
        <v>1632</v>
      </c>
      <c r="D269" s="9" t="s">
        <v>1535</v>
      </c>
      <c r="E269" s="9" t="s">
        <v>134</v>
      </c>
      <c r="F269" s="9" t="s">
        <v>1633</v>
      </c>
      <c r="G269" s="9"/>
    </row>
    <row r="270" customFormat="false" ht="15" hidden="false" customHeight="false" outlineLevel="0" collapsed="false">
      <c r="A270" s="8" t="s">
        <v>1878</v>
      </c>
      <c r="B270" s="8"/>
      <c r="C270" s="8" t="s">
        <v>1882</v>
      </c>
      <c r="D270" s="8" t="s">
        <v>1545</v>
      </c>
      <c r="E270" s="8" t="s">
        <v>139</v>
      </c>
      <c r="F270" s="8"/>
      <c r="G270" s="8"/>
    </row>
    <row r="271" customFormat="false" ht="15" hidden="false" customHeight="false" outlineLevel="0" collapsed="false">
      <c r="A271" s="9" t="s">
        <v>1883</v>
      </c>
      <c r="B271" s="9" t="s">
        <v>1884</v>
      </c>
      <c r="C271" s="9" t="s">
        <v>1885</v>
      </c>
      <c r="D271" s="9" t="s">
        <v>1539</v>
      </c>
      <c r="E271" s="9" t="s">
        <v>139</v>
      </c>
      <c r="F271" s="9" t="s">
        <v>1536</v>
      </c>
      <c r="G271" s="9" t="s">
        <v>1886</v>
      </c>
    </row>
    <row r="272" customFormat="false" ht="15" hidden="false" customHeight="false" outlineLevel="0" collapsed="false">
      <c r="A272" s="8" t="s">
        <v>1883</v>
      </c>
      <c r="B272" s="8"/>
      <c r="C272" s="8" t="s">
        <v>1887</v>
      </c>
      <c r="D272" s="8" t="s">
        <v>1621</v>
      </c>
      <c r="E272" s="8" t="s">
        <v>139</v>
      </c>
      <c r="F272" s="8"/>
      <c r="G272" s="8"/>
    </row>
    <row r="273" customFormat="false" ht="15" hidden="false" customHeight="false" outlineLevel="0" collapsed="false">
      <c r="A273" s="9" t="s">
        <v>1883</v>
      </c>
      <c r="B273" s="9"/>
      <c r="C273" s="9" t="s">
        <v>1715</v>
      </c>
      <c r="D273" s="9" t="s">
        <v>1539</v>
      </c>
      <c r="E273" s="9" t="s">
        <v>139</v>
      </c>
      <c r="F273" s="9"/>
      <c r="G273" s="9" t="s">
        <v>1888</v>
      </c>
    </row>
    <row r="274" customFormat="false" ht="15" hidden="false" customHeight="false" outlineLevel="0" collapsed="false">
      <c r="A274" s="8" t="s">
        <v>1883</v>
      </c>
      <c r="B274" s="8"/>
      <c r="C274" s="8" t="s">
        <v>1889</v>
      </c>
      <c r="D274" s="8" t="s">
        <v>1589</v>
      </c>
      <c r="E274" s="8" t="s">
        <v>139</v>
      </c>
      <c r="F274" s="8"/>
      <c r="G274" s="8" t="s">
        <v>1890</v>
      </c>
    </row>
    <row r="275" customFormat="false" ht="15" hidden="false" customHeight="false" outlineLevel="0" collapsed="false">
      <c r="A275" s="9" t="s">
        <v>1883</v>
      </c>
      <c r="B275" s="9"/>
      <c r="C275" s="9" t="s">
        <v>1694</v>
      </c>
      <c r="D275" s="9" t="s">
        <v>1545</v>
      </c>
      <c r="E275" s="9" t="s">
        <v>139</v>
      </c>
      <c r="F275" s="9"/>
      <c r="G275" s="9"/>
    </row>
    <row r="276" customFormat="false" ht="15" hidden="false" customHeight="false" outlineLevel="0" collapsed="false">
      <c r="A276" s="8" t="s">
        <v>1891</v>
      </c>
      <c r="B276" s="8" t="s">
        <v>1892</v>
      </c>
      <c r="C276" s="8" t="s">
        <v>1893</v>
      </c>
      <c r="D276" s="8" t="s">
        <v>1539</v>
      </c>
      <c r="E276" s="8" t="s">
        <v>139</v>
      </c>
      <c r="F276" s="8" t="s">
        <v>1536</v>
      </c>
      <c r="G276" s="8" t="s">
        <v>1894</v>
      </c>
    </row>
    <row r="277" customFormat="false" ht="15" hidden="false" customHeight="false" outlineLevel="0" collapsed="false">
      <c r="A277" s="9" t="s">
        <v>1891</v>
      </c>
      <c r="B277" s="9"/>
      <c r="C277" s="9" t="s">
        <v>1835</v>
      </c>
      <c r="D277" s="9" t="s">
        <v>1589</v>
      </c>
      <c r="E277" s="9" t="s">
        <v>139</v>
      </c>
      <c r="F277" s="9"/>
      <c r="G277" s="9"/>
    </row>
    <row r="278" customFormat="false" ht="15" hidden="false" customHeight="false" outlineLevel="0" collapsed="false">
      <c r="A278" s="8" t="s">
        <v>1891</v>
      </c>
      <c r="B278" s="8"/>
      <c r="C278" s="8" t="s">
        <v>1651</v>
      </c>
      <c r="D278" s="8" t="s">
        <v>1539</v>
      </c>
      <c r="E278" s="8" t="s">
        <v>139</v>
      </c>
      <c r="F278" s="8"/>
      <c r="G278" s="8"/>
    </row>
    <row r="279" customFormat="false" ht="15" hidden="false" customHeight="false" outlineLevel="0" collapsed="false">
      <c r="A279" s="9" t="s">
        <v>1891</v>
      </c>
      <c r="B279" s="9"/>
      <c r="C279" s="9" t="s">
        <v>1895</v>
      </c>
      <c r="D279" s="9" t="s">
        <v>1535</v>
      </c>
      <c r="E279" s="9" t="s">
        <v>139</v>
      </c>
      <c r="F279" s="9" t="s">
        <v>1635</v>
      </c>
      <c r="G279" s="9"/>
    </row>
    <row r="280" customFormat="false" ht="15" hidden="false" customHeight="false" outlineLevel="0" collapsed="false">
      <c r="A280" s="8" t="s">
        <v>1896</v>
      </c>
      <c r="B280" s="8" t="s">
        <v>1897</v>
      </c>
      <c r="C280" s="8" t="s">
        <v>1534</v>
      </c>
      <c r="D280" s="8" t="s">
        <v>1824</v>
      </c>
      <c r="E280" s="8" t="s">
        <v>139</v>
      </c>
      <c r="F280" s="8" t="s">
        <v>1825</v>
      </c>
      <c r="G280" s="8"/>
    </row>
    <row r="281" customFormat="false" ht="15" hidden="false" customHeight="false" outlineLevel="0" collapsed="false">
      <c r="A281" s="9" t="s">
        <v>1896</v>
      </c>
      <c r="B281" s="9"/>
      <c r="C281" s="9" t="s">
        <v>1893</v>
      </c>
      <c r="D281" s="9" t="s">
        <v>1539</v>
      </c>
      <c r="E281" s="9" t="s">
        <v>139</v>
      </c>
      <c r="F281" s="9" t="s">
        <v>1898</v>
      </c>
      <c r="G281" s="9"/>
    </row>
    <row r="282" customFormat="false" ht="15" hidden="false" customHeight="false" outlineLevel="0" collapsed="false">
      <c r="A282" s="8" t="s">
        <v>1896</v>
      </c>
      <c r="B282" s="8"/>
      <c r="C282" s="8" t="s">
        <v>1899</v>
      </c>
      <c r="D282" s="8" t="s">
        <v>1589</v>
      </c>
      <c r="E282" s="8" t="s">
        <v>134</v>
      </c>
      <c r="F282" s="8"/>
      <c r="G282" s="8"/>
    </row>
    <row r="283" customFormat="false" ht="15" hidden="false" customHeight="false" outlineLevel="0" collapsed="false">
      <c r="A283" s="9" t="s">
        <v>1896</v>
      </c>
      <c r="B283" s="9"/>
      <c r="C283" s="9" t="s">
        <v>1900</v>
      </c>
      <c r="D283" s="9" t="s">
        <v>1589</v>
      </c>
      <c r="E283" s="9" t="s">
        <v>139</v>
      </c>
      <c r="F283" s="9"/>
      <c r="G283" s="9"/>
    </row>
    <row r="284" customFormat="false" ht="15" hidden="false" customHeight="false" outlineLevel="0" collapsed="false">
      <c r="A284" s="8" t="s">
        <v>1896</v>
      </c>
      <c r="B284" s="8"/>
      <c r="C284" s="8" t="s">
        <v>1739</v>
      </c>
      <c r="D284" s="8" t="s">
        <v>1539</v>
      </c>
      <c r="E284" s="8" t="s">
        <v>139</v>
      </c>
      <c r="F284" s="8"/>
      <c r="G284" s="8" t="s">
        <v>1901</v>
      </c>
    </row>
    <row r="285" customFormat="false" ht="15" hidden="false" customHeight="false" outlineLevel="0" collapsed="false">
      <c r="A285" s="9" t="s">
        <v>1896</v>
      </c>
      <c r="B285" s="9"/>
      <c r="C285" s="9" t="s">
        <v>1902</v>
      </c>
      <c r="D285" s="9" t="s">
        <v>1535</v>
      </c>
      <c r="E285" s="9" t="s">
        <v>139</v>
      </c>
      <c r="F285" s="9" t="s">
        <v>1635</v>
      </c>
      <c r="G285" s="9"/>
    </row>
    <row r="286" customFormat="false" ht="15" hidden="false" customHeight="false" outlineLevel="0" collapsed="false">
      <c r="A286" s="8" t="s">
        <v>1903</v>
      </c>
      <c r="B286" s="8" t="s">
        <v>1904</v>
      </c>
      <c r="C286" s="8" t="s">
        <v>1563</v>
      </c>
      <c r="D286" s="8" t="s">
        <v>1535</v>
      </c>
      <c r="E286" s="8" t="s">
        <v>139</v>
      </c>
      <c r="F286" s="8" t="s">
        <v>1564</v>
      </c>
      <c r="G286" s="8"/>
    </row>
    <row r="287" customFormat="false" ht="15" hidden="false" customHeight="false" outlineLevel="0" collapsed="false">
      <c r="A287" s="9" t="s">
        <v>1903</v>
      </c>
      <c r="B287" s="9"/>
      <c r="C287" s="9" t="s">
        <v>1893</v>
      </c>
      <c r="D287" s="9" t="s">
        <v>1539</v>
      </c>
      <c r="E287" s="9" t="s">
        <v>139</v>
      </c>
      <c r="F287" s="9" t="s">
        <v>1536</v>
      </c>
      <c r="G287" s="9" t="s">
        <v>1905</v>
      </c>
    </row>
    <row r="288" customFormat="false" ht="15" hidden="false" customHeight="false" outlineLevel="0" collapsed="false">
      <c r="A288" s="8" t="s">
        <v>1903</v>
      </c>
      <c r="B288" s="8"/>
      <c r="C288" s="8" t="s">
        <v>1835</v>
      </c>
      <c r="D288" s="8" t="s">
        <v>1589</v>
      </c>
      <c r="E288" s="8" t="s">
        <v>139</v>
      </c>
      <c r="F288" s="8"/>
      <c r="G288" s="8"/>
    </row>
    <row r="289" customFormat="false" ht="15" hidden="false" customHeight="false" outlineLevel="0" collapsed="false">
      <c r="A289" s="9" t="s">
        <v>1903</v>
      </c>
      <c r="B289" s="9"/>
      <c r="C289" s="9" t="s">
        <v>1906</v>
      </c>
      <c r="D289" s="9" t="s">
        <v>1539</v>
      </c>
      <c r="E289" s="9" t="s">
        <v>139</v>
      </c>
      <c r="F289" s="9"/>
      <c r="G289" s="9" t="s">
        <v>1907</v>
      </c>
    </row>
    <row r="290" customFormat="false" ht="15" hidden="false" customHeight="false" outlineLevel="0" collapsed="false">
      <c r="A290" s="8" t="s">
        <v>1903</v>
      </c>
      <c r="B290" s="8"/>
      <c r="C290" s="8" t="s">
        <v>1895</v>
      </c>
      <c r="D290" s="8" t="s">
        <v>1535</v>
      </c>
      <c r="E290" s="8" t="s">
        <v>139</v>
      </c>
      <c r="F290" s="8" t="s">
        <v>1635</v>
      </c>
      <c r="G290" s="8"/>
    </row>
    <row r="291" customFormat="false" ht="15" hidden="false" customHeight="false" outlineLevel="0" collapsed="false">
      <c r="A291" s="9" t="s">
        <v>1908</v>
      </c>
      <c r="B291" s="9" t="s">
        <v>1909</v>
      </c>
      <c r="C291" s="9" t="s">
        <v>1565</v>
      </c>
      <c r="D291" s="9" t="s">
        <v>1535</v>
      </c>
      <c r="E291" s="9" t="s">
        <v>139</v>
      </c>
      <c r="F291" s="9" t="s">
        <v>1566</v>
      </c>
      <c r="G291" s="9"/>
    </row>
    <row r="292" customFormat="false" ht="15" hidden="false" customHeight="false" outlineLevel="0" collapsed="false">
      <c r="A292" s="8" t="s">
        <v>1908</v>
      </c>
      <c r="B292" s="8"/>
      <c r="C292" s="8" t="s">
        <v>1563</v>
      </c>
      <c r="D292" s="8" t="s">
        <v>1535</v>
      </c>
      <c r="E292" s="8" t="s">
        <v>139</v>
      </c>
      <c r="F292" s="8" t="s">
        <v>1564</v>
      </c>
      <c r="G292" s="8"/>
    </row>
    <row r="293" customFormat="false" ht="15" hidden="false" customHeight="false" outlineLevel="0" collapsed="false">
      <c r="A293" s="9" t="s">
        <v>1908</v>
      </c>
      <c r="B293" s="9"/>
      <c r="C293" s="9" t="s">
        <v>1893</v>
      </c>
      <c r="D293" s="9" t="s">
        <v>1539</v>
      </c>
      <c r="E293" s="9" t="s">
        <v>139</v>
      </c>
      <c r="F293" s="9" t="s">
        <v>1536</v>
      </c>
      <c r="G293" s="9"/>
    </row>
    <row r="294" customFormat="false" ht="15" hidden="false" customHeight="false" outlineLevel="0" collapsed="false">
      <c r="A294" s="8" t="s">
        <v>1908</v>
      </c>
      <c r="B294" s="8"/>
      <c r="C294" s="8" t="s">
        <v>1835</v>
      </c>
      <c r="D294" s="8" t="s">
        <v>1589</v>
      </c>
      <c r="E294" s="8" t="s">
        <v>139</v>
      </c>
      <c r="F294" s="8"/>
      <c r="G294" s="8" t="s">
        <v>1910</v>
      </c>
    </row>
    <row r="295" customFormat="false" ht="23.85" hidden="false" customHeight="false" outlineLevel="0" collapsed="false">
      <c r="A295" s="9" t="s">
        <v>1911</v>
      </c>
      <c r="B295" s="9" t="s">
        <v>1912</v>
      </c>
      <c r="C295" s="9" t="s">
        <v>1534</v>
      </c>
      <c r="D295" s="9" t="s">
        <v>1535</v>
      </c>
      <c r="E295" s="9" t="s">
        <v>139</v>
      </c>
      <c r="F295" s="9" t="s">
        <v>1536</v>
      </c>
      <c r="G295" s="9"/>
    </row>
    <row r="296" customFormat="false" ht="15" hidden="false" customHeight="false" outlineLevel="0" collapsed="false">
      <c r="A296" s="8" t="s">
        <v>1911</v>
      </c>
      <c r="B296" s="8"/>
      <c r="C296" s="8" t="s">
        <v>1753</v>
      </c>
      <c r="D296" s="8" t="s">
        <v>1535</v>
      </c>
      <c r="E296" s="8" t="s">
        <v>139</v>
      </c>
      <c r="F296" s="8" t="s">
        <v>1754</v>
      </c>
      <c r="G296" s="8"/>
    </row>
    <row r="297" customFormat="false" ht="15" hidden="false" customHeight="false" outlineLevel="0" collapsed="false">
      <c r="A297" s="9" t="s">
        <v>1911</v>
      </c>
      <c r="B297" s="9"/>
      <c r="C297" s="9" t="s">
        <v>1831</v>
      </c>
      <c r="D297" s="9" t="s">
        <v>1539</v>
      </c>
      <c r="E297" s="9" t="s">
        <v>139</v>
      </c>
      <c r="F297" s="9"/>
      <c r="G297" s="9" t="s">
        <v>1913</v>
      </c>
    </row>
    <row r="298" customFormat="false" ht="15" hidden="false" customHeight="false" outlineLevel="0" collapsed="false">
      <c r="A298" s="8" t="s">
        <v>1911</v>
      </c>
      <c r="B298" s="8"/>
      <c r="C298" s="8" t="s">
        <v>1914</v>
      </c>
      <c r="D298" s="8" t="s">
        <v>1589</v>
      </c>
      <c r="E298" s="8" t="s">
        <v>134</v>
      </c>
      <c r="F298" s="8"/>
      <c r="G298" s="8" t="s">
        <v>1915</v>
      </c>
    </row>
    <row r="299" customFormat="false" ht="15" hidden="false" customHeight="false" outlineLevel="0" collapsed="false">
      <c r="A299" s="9" t="s">
        <v>1911</v>
      </c>
      <c r="B299" s="9"/>
      <c r="C299" s="9" t="s">
        <v>1916</v>
      </c>
      <c r="D299" s="9" t="s">
        <v>1589</v>
      </c>
      <c r="E299" s="9" t="s">
        <v>134</v>
      </c>
      <c r="F299" s="9"/>
      <c r="G299" s="9" t="s">
        <v>1917</v>
      </c>
    </row>
    <row r="300" customFormat="false" ht="15" hidden="false" customHeight="false" outlineLevel="0" collapsed="false">
      <c r="A300" s="8" t="s">
        <v>1911</v>
      </c>
      <c r="B300" s="8"/>
      <c r="C300" s="8" t="s">
        <v>1739</v>
      </c>
      <c r="D300" s="8" t="s">
        <v>1539</v>
      </c>
      <c r="E300" s="8" t="s">
        <v>134</v>
      </c>
      <c r="F300" s="8"/>
      <c r="G300" s="8"/>
    </row>
    <row r="301" customFormat="false" ht="15" hidden="false" customHeight="false" outlineLevel="0" collapsed="false">
      <c r="A301" s="9" t="s">
        <v>1911</v>
      </c>
      <c r="B301" s="9"/>
      <c r="C301" s="9" t="s">
        <v>1902</v>
      </c>
      <c r="D301" s="9" t="s">
        <v>1535</v>
      </c>
      <c r="E301" s="9" t="s">
        <v>139</v>
      </c>
      <c r="F301" s="9" t="s">
        <v>1635</v>
      </c>
      <c r="G301" s="9"/>
    </row>
    <row r="302" customFormat="false" ht="15" hidden="false" customHeight="false" outlineLevel="0" collapsed="false">
      <c r="A302" s="8" t="s">
        <v>1911</v>
      </c>
      <c r="B302" s="8"/>
      <c r="C302" s="8" t="s">
        <v>1611</v>
      </c>
      <c r="D302" s="8" t="s">
        <v>1545</v>
      </c>
      <c r="E302" s="8" t="s">
        <v>139</v>
      </c>
      <c r="F302" s="8"/>
      <c r="G302" s="8" t="s">
        <v>1918</v>
      </c>
    </row>
    <row r="303" customFormat="false" ht="23.85" hidden="false" customHeight="false" outlineLevel="0" collapsed="false">
      <c r="A303" s="9" t="s">
        <v>1919</v>
      </c>
      <c r="B303" s="9" t="s">
        <v>1920</v>
      </c>
      <c r="C303" s="9" t="s">
        <v>1534</v>
      </c>
      <c r="D303" s="9" t="s">
        <v>1535</v>
      </c>
      <c r="E303" s="9" t="s">
        <v>139</v>
      </c>
      <c r="F303" s="9" t="s">
        <v>1536</v>
      </c>
      <c r="G303" s="9"/>
    </row>
    <row r="304" customFormat="false" ht="15" hidden="false" customHeight="false" outlineLevel="0" collapsed="false">
      <c r="A304" s="8" t="s">
        <v>1919</v>
      </c>
      <c r="B304" s="8"/>
      <c r="C304" s="8" t="s">
        <v>1563</v>
      </c>
      <c r="D304" s="8" t="s">
        <v>1535</v>
      </c>
      <c r="E304" s="8" t="s">
        <v>139</v>
      </c>
      <c r="F304" s="8" t="s">
        <v>1557</v>
      </c>
      <c r="G304" s="8" t="s">
        <v>1921</v>
      </c>
    </row>
    <row r="305" customFormat="false" ht="15" hidden="false" customHeight="false" outlineLevel="0" collapsed="false">
      <c r="A305" s="9" t="s">
        <v>1919</v>
      </c>
      <c r="B305" s="9"/>
      <c r="C305" s="9" t="s">
        <v>1826</v>
      </c>
      <c r="D305" s="9" t="s">
        <v>1539</v>
      </c>
      <c r="E305" s="9" t="s">
        <v>139</v>
      </c>
      <c r="F305" s="9"/>
      <c r="G305" s="9" t="s">
        <v>1922</v>
      </c>
    </row>
    <row r="306" customFormat="false" ht="15" hidden="false" customHeight="false" outlineLevel="0" collapsed="false">
      <c r="A306" s="8" t="s">
        <v>1919</v>
      </c>
      <c r="B306" s="8"/>
      <c r="C306" s="8" t="s">
        <v>1827</v>
      </c>
      <c r="D306" s="8" t="s">
        <v>1535</v>
      </c>
      <c r="E306" s="8" t="s">
        <v>139</v>
      </c>
      <c r="F306" s="8"/>
      <c r="G306" s="8"/>
    </row>
    <row r="307" customFormat="false" ht="15" hidden="false" customHeight="false" outlineLevel="0" collapsed="false">
      <c r="A307" s="9" t="s">
        <v>1919</v>
      </c>
      <c r="B307" s="9"/>
      <c r="C307" s="9" t="s">
        <v>1923</v>
      </c>
      <c r="D307" s="9" t="s">
        <v>1589</v>
      </c>
      <c r="E307" s="9" t="s">
        <v>139</v>
      </c>
      <c r="F307" s="9"/>
      <c r="G307" s="9"/>
    </row>
    <row r="308" customFormat="false" ht="15" hidden="false" customHeight="false" outlineLevel="0" collapsed="false">
      <c r="A308" s="8" t="s">
        <v>1919</v>
      </c>
      <c r="B308" s="8"/>
      <c r="C308" s="8" t="s">
        <v>1924</v>
      </c>
      <c r="D308" s="8" t="s">
        <v>1539</v>
      </c>
      <c r="E308" s="8" t="s">
        <v>134</v>
      </c>
      <c r="F308" s="8"/>
      <c r="G308" s="8" t="s">
        <v>1925</v>
      </c>
    </row>
    <row r="309" customFormat="false" ht="15" hidden="false" customHeight="false" outlineLevel="0" collapsed="false">
      <c r="A309" s="9" t="s">
        <v>1919</v>
      </c>
      <c r="B309" s="9"/>
      <c r="C309" s="9" t="s">
        <v>1642</v>
      </c>
      <c r="D309" s="9" t="s">
        <v>1539</v>
      </c>
      <c r="E309" s="9" t="s">
        <v>139</v>
      </c>
      <c r="F309" s="9"/>
      <c r="G309" s="9" t="s">
        <v>1926</v>
      </c>
    </row>
    <row r="310" customFormat="false" ht="15" hidden="false" customHeight="false" outlineLevel="0" collapsed="false">
      <c r="A310" s="8" t="s">
        <v>1919</v>
      </c>
      <c r="B310" s="8"/>
      <c r="C310" s="8" t="s">
        <v>1927</v>
      </c>
      <c r="D310" s="8" t="s">
        <v>1535</v>
      </c>
      <c r="E310" s="8" t="s">
        <v>134</v>
      </c>
      <c r="F310" s="8" t="s">
        <v>1635</v>
      </c>
      <c r="G310" s="8"/>
    </row>
    <row r="311" customFormat="false" ht="15" hidden="false" customHeight="false" outlineLevel="0" collapsed="false">
      <c r="A311" s="9" t="s">
        <v>1919</v>
      </c>
      <c r="B311" s="9"/>
      <c r="C311" s="9" t="s">
        <v>1928</v>
      </c>
      <c r="D311" s="9" t="s">
        <v>1539</v>
      </c>
      <c r="E311" s="9" t="s">
        <v>134</v>
      </c>
      <c r="F311" s="9"/>
      <c r="G311" s="9"/>
    </row>
    <row r="312" customFormat="false" ht="15" hidden="false" customHeight="false" outlineLevel="0" collapsed="false">
      <c r="A312" s="8" t="s">
        <v>1929</v>
      </c>
      <c r="B312" s="8" t="s">
        <v>1930</v>
      </c>
      <c r="C312" s="8" t="s">
        <v>1534</v>
      </c>
      <c r="D312" s="8" t="s">
        <v>1535</v>
      </c>
      <c r="E312" s="8" t="s">
        <v>139</v>
      </c>
      <c r="F312" s="8" t="s">
        <v>1536</v>
      </c>
      <c r="G312" s="8"/>
    </row>
    <row r="313" customFormat="false" ht="15" hidden="false" customHeight="false" outlineLevel="0" collapsed="false">
      <c r="A313" s="9" t="s">
        <v>1929</v>
      </c>
      <c r="B313" s="9"/>
      <c r="C313" s="9" t="s">
        <v>1563</v>
      </c>
      <c r="D313" s="9" t="s">
        <v>1535</v>
      </c>
      <c r="E313" s="9" t="s">
        <v>139</v>
      </c>
      <c r="F313" s="9" t="s">
        <v>1557</v>
      </c>
      <c r="G313" s="9"/>
    </row>
    <row r="314" customFormat="false" ht="15" hidden="false" customHeight="false" outlineLevel="0" collapsed="false">
      <c r="A314" s="8" t="s">
        <v>1929</v>
      </c>
      <c r="B314" s="8"/>
      <c r="C314" s="8" t="s">
        <v>1565</v>
      </c>
      <c r="D314" s="8" t="s">
        <v>1535</v>
      </c>
      <c r="E314" s="8" t="s">
        <v>139</v>
      </c>
      <c r="F314" s="8" t="s">
        <v>1635</v>
      </c>
      <c r="G314" s="8"/>
    </row>
    <row r="315" customFormat="false" ht="15" hidden="false" customHeight="false" outlineLevel="0" collapsed="false">
      <c r="A315" s="9" t="s">
        <v>1929</v>
      </c>
      <c r="B315" s="9"/>
      <c r="C315" s="9" t="s">
        <v>1826</v>
      </c>
      <c r="D315" s="9" t="s">
        <v>1539</v>
      </c>
      <c r="E315" s="9" t="s">
        <v>139</v>
      </c>
      <c r="F315" s="9"/>
      <c r="G315" s="9" t="s">
        <v>1931</v>
      </c>
    </row>
    <row r="316" customFormat="false" ht="15" hidden="false" customHeight="false" outlineLevel="0" collapsed="false">
      <c r="A316" s="8" t="s">
        <v>1929</v>
      </c>
      <c r="B316" s="8"/>
      <c r="C316" s="8" t="s">
        <v>1827</v>
      </c>
      <c r="D316" s="8" t="s">
        <v>1535</v>
      </c>
      <c r="E316" s="8" t="s">
        <v>139</v>
      </c>
      <c r="F316" s="8"/>
      <c r="G316" s="8"/>
    </row>
    <row r="317" customFormat="false" ht="23.85" hidden="false" customHeight="false" outlineLevel="0" collapsed="false">
      <c r="A317" s="9" t="s">
        <v>1929</v>
      </c>
      <c r="B317" s="9"/>
      <c r="C317" s="9" t="s">
        <v>1932</v>
      </c>
      <c r="D317" s="9" t="s">
        <v>1539</v>
      </c>
      <c r="E317" s="9" t="s">
        <v>139</v>
      </c>
      <c r="F317" s="9"/>
      <c r="G317" s="9" t="s">
        <v>1933</v>
      </c>
    </row>
    <row r="318" customFormat="false" ht="15" hidden="false" customHeight="false" outlineLevel="0" collapsed="false">
      <c r="A318" s="8" t="s">
        <v>1929</v>
      </c>
      <c r="B318" s="8"/>
      <c r="C318" s="8" t="s">
        <v>1651</v>
      </c>
      <c r="D318" s="8" t="s">
        <v>1539</v>
      </c>
      <c r="E318" s="8" t="s">
        <v>139</v>
      </c>
      <c r="F318" s="8"/>
      <c r="G318" s="8"/>
    </row>
    <row r="319" customFormat="false" ht="15" hidden="false" customHeight="false" outlineLevel="0" collapsed="false">
      <c r="A319" s="9" t="s">
        <v>1929</v>
      </c>
      <c r="B319" s="9"/>
      <c r="C319" s="9" t="s">
        <v>1642</v>
      </c>
      <c r="D319" s="9" t="s">
        <v>1539</v>
      </c>
      <c r="E319" s="9" t="s">
        <v>139</v>
      </c>
      <c r="F319" s="9"/>
      <c r="G319" s="9" t="s">
        <v>1934</v>
      </c>
    </row>
    <row r="320" customFormat="false" ht="15" hidden="false" customHeight="false" outlineLevel="0" collapsed="false">
      <c r="A320" s="8" t="s">
        <v>1929</v>
      </c>
      <c r="B320" s="8"/>
      <c r="C320" s="8" t="s">
        <v>1935</v>
      </c>
      <c r="D320" s="8" t="s">
        <v>1535</v>
      </c>
      <c r="E320" s="8" t="s">
        <v>134</v>
      </c>
      <c r="F320" s="8" t="s">
        <v>1936</v>
      </c>
      <c r="G320" s="8" t="s">
        <v>1937</v>
      </c>
    </row>
    <row r="321" customFormat="false" ht="15" hidden="false" customHeight="false" outlineLevel="0" collapsed="false">
      <c r="A321" s="9" t="s">
        <v>1938</v>
      </c>
      <c r="B321" s="9" t="s">
        <v>1939</v>
      </c>
      <c r="C321" s="9" t="s">
        <v>1885</v>
      </c>
      <c r="D321" s="9" t="s">
        <v>1539</v>
      </c>
      <c r="E321" s="9" t="s">
        <v>139</v>
      </c>
      <c r="F321" s="9" t="s">
        <v>1536</v>
      </c>
      <c r="G321" s="9"/>
    </row>
    <row r="322" customFormat="false" ht="15" hidden="false" customHeight="false" outlineLevel="0" collapsed="false">
      <c r="A322" s="8" t="s">
        <v>1938</v>
      </c>
      <c r="B322" s="8"/>
      <c r="C322" s="8" t="s">
        <v>1877</v>
      </c>
      <c r="D322" s="8" t="s">
        <v>1621</v>
      </c>
      <c r="E322" s="8" t="s">
        <v>139</v>
      </c>
      <c r="F322" s="8"/>
      <c r="G322" s="8"/>
    </row>
    <row r="323" customFormat="false" ht="15" hidden="false" customHeight="false" outlineLevel="0" collapsed="false">
      <c r="A323" s="9" t="s">
        <v>1938</v>
      </c>
      <c r="B323" s="9"/>
      <c r="C323" s="9" t="s">
        <v>1940</v>
      </c>
      <c r="D323" s="9" t="s">
        <v>1545</v>
      </c>
      <c r="E323" s="9" t="s">
        <v>139</v>
      </c>
      <c r="F323" s="9"/>
      <c r="G323" s="9" t="s">
        <v>1941</v>
      </c>
    </row>
    <row r="324" customFormat="false" ht="15" hidden="false" customHeight="false" outlineLevel="0" collapsed="false">
      <c r="A324" s="8" t="s">
        <v>1938</v>
      </c>
      <c r="B324" s="8"/>
      <c r="C324" s="8" t="s">
        <v>1942</v>
      </c>
      <c r="D324" s="8" t="s">
        <v>1539</v>
      </c>
      <c r="E324" s="8" t="s">
        <v>139</v>
      </c>
      <c r="F324" s="8"/>
      <c r="G324" s="8"/>
    </row>
    <row r="325" customFormat="false" ht="15" hidden="false" customHeight="false" outlineLevel="0" collapsed="false">
      <c r="A325" s="9" t="s">
        <v>1943</v>
      </c>
      <c r="B325" s="9" t="s">
        <v>1944</v>
      </c>
      <c r="C325" s="9" t="s">
        <v>1565</v>
      </c>
      <c r="D325" s="9" t="s">
        <v>1535</v>
      </c>
      <c r="E325" s="9" t="s">
        <v>139</v>
      </c>
      <c r="F325" s="9" t="s">
        <v>1566</v>
      </c>
      <c r="G325" s="9"/>
    </row>
    <row r="326" customFormat="false" ht="15" hidden="false" customHeight="false" outlineLevel="0" collapsed="false">
      <c r="A326" s="8" t="s">
        <v>1943</v>
      </c>
      <c r="B326" s="8"/>
      <c r="C326" s="8" t="s">
        <v>1885</v>
      </c>
      <c r="D326" s="8" t="s">
        <v>1539</v>
      </c>
      <c r="E326" s="8" t="s">
        <v>139</v>
      </c>
      <c r="F326" s="8" t="s">
        <v>1945</v>
      </c>
      <c r="G326" s="8"/>
    </row>
    <row r="327" customFormat="false" ht="15" hidden="false" customHeight="false" outlineLevel="0" collapsed="false">
      <c r="A327" s="9" t="s">
        <v>1943</v>
      </c>
      <c r="B327" s="9"/>
      <c r="C327" s="9" t="s">
        <v>1946</v>
      </c>
      <c r="D327" s="9" t="s">
        <v>1621</v>
      </c>
      <c r="E327" s="9" t="s">
        <v>139</v>
      </c>
      <c r="F327" s="9"/>
      <c r="G327" s="9"/>
    </row>
    <row r="328" customFormat="false" ht="15" hidden="false" customHeight="false" outlineLevel="0" collapsed="false">
      <c r="A328" s="8" t="s">
        <v>1943</v>
      </c>
      <c r="B328" s="8"/>
      <c r="C328" s="8" t="s">
        <v>1947</v>
      </c>
      <c r="D328" s="8" t="s">
        <v>1948</v>
      </c>
      <c r="E328" s="8" t="s">
        <v>134</v>
      </c>
      <c r="F328" s="8"/>
      <c r="G328" s="8"/>
    </row>
    <row r="329" customFormat="false" ht="15" hidden="false" customHeight="false" outlineLevel="0" collapsed="false">
      <c r="A329" s="9" t="s">
        <v>1949</v>
      </c>
      <c r="B329" s="9" t="s">
        <v>1950</v>
      </c>
      <c r="C329" s="9" t="s">
        <v>1667</v>
      </c>
      <c r="D329" s="9" t="s">
        <v>1535</v>
      </c>
      <c r="E329" s="9" t="s">
        <v>139</v>
      </c>
      <c r="F329" s="9" t="s">
        <v>1951</v>
      </c>
      <c r="G329" s="9"/>
    </row>
    <row r="330" customFormat="false" ht="15" hidden="false" customHeight="false" outlineLevel="0" collapsed="false">
      <c r="A330" s="8" t="s">
        <v>1949</v>
      </c>
      <c r="B330" s="8"/>
      <c r="C330" s="8" t="s">
        <v>1952</v>
      </c>
      <c r="D330" s="8" t="s">
        <v>1539</v>
      </c>
      <c r="E330" s="8" t="s">
        <v>139</v>
      </c>
      <c r="F330" s="8" t="s">
        <v>1536</v>
      </c>
      <c r="G330" s="8" t="s">
        <v>1953</v>
      </c>
    </row>
    <row r="331" customFormat="false" ht="15" hidden="false" customHeight="false" outlineLevel="0" collapsed="false">
      <c r="A331" s="9" t="s">
        <v>1949</v>
      </c>
      <c r="B331" s="9"/>
      <c r="C331" s="9" t="s">
        <v>1954</v>
      </c>
      <c r="D331" s="9" t="s">
        <v>1559</v>
      </c>
      <c r="E331" s="9" t="s">
        <v>139</v>
      </c>
      <c r="F331" s="9"/>
      <c r="G331" s="9"/>
    </row>
    <row r="332" customFormat="false" ht="15" hidden="false" customHeight="false" outlineLevel="0" collapsed="false">
      <c r="A332" s="8" t="s">
        <v>1949</v>
      </c>
      <c r="B332" s="8"/>
      <c r="C332" s="8" t="s">
        <v>1955</v>
      </c>
      <c r="D332" s="8" t="s">
        <v>1956</v>
      </c>
      <c r="E332" s="8" t="s">
        <v>134</v>
      </c>
      <c r="F332" s="8"/>
      <c r="G332" s="8"/>
    </row>
    <row r="333" customFormat="false" ht="15" hidden="false" customHeight="false" outlineLevel="0" collapsed="false">
      <c r="A333" s="9" t="s">
        <v>1949</v>
      </c>
      <c r="B333" s="9"/>
      <c r="C333" s="9" t="s">
        <v>1957</v>
      </c>
      <c r="D333" s="9" t="s">
        <v>1956</v>
      </c>
      <c r="E333" s="9" t="s">
        <v>134</v>
      </c>
      <c r="F333" s="9"/>
      <c r="G333" s="9"/>
    </row>
    <row r="334" customFormat="false" ht="15" hidden="false" customHeight="false" outlineLevel="0" collapsed="false">
      <c r="A334" s="8" t="s">
        <v>1949</v>
      </c>
      <c r="B334" s="8"/>
      <c r="C334" s="8" t="s">
        <v>1763</v>
      </c>
      <c r="D334" s="8" t="s">
        <v>1539</v>
      </c>
      <c r="E334" s="8" t="s">
        <v>139</v>
      </c>
      <c r="F334" s="8" t="s">
        <v>1764</v>
      </c>
      <c r="G334" s="8"/>
    </row>
    <row r="335" customFormat="false" ht="15" hidden="false" customHeight="false" outlineLevel="0" collapsed="false">
      <c r="A335" s="9" t="s">
        <v>1949</v>
      </c>
      <c r="B335" s="9"/>
      <c r="C335" s="9" t="s">
        <v>1958</v>
      </c>
      <c r="D335" s="9" t="s">
        <v>1545</v>
      </c>
      <c r="E335" s="9" t="s">
        <v>139</v>
      </c>
      <c r="F335" s="9"/>
      <c r="G335" s="9" t="s">
        <v>1959</v>
      </c>
    </row>
  </sheetData>
  <autoFilter ref="A3:G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80"/>
  </cols>
  <sheetData>
    <row r="1" customFormat="false" ht="19.7" hidden="false" customHeight="false" outlineLevel="0" collapsed="false">
      <c r="A1" s="1" t="s">
        <v>1960</v>
      </c>
    </row>
    <row r="3" customFormat="false" ht="15" hidden="false" customHeight="false" outlineLevel="0" collapsed="false">
      <c r="A3" s="7" t="s">
        <v>125</v>
      </c>
      <c r="B3" s="7" t="s">
        <v>1961</v>
      </c>
      <c r="C3" s="7" t="s">
        <v>1962</v>
      </c>
    </row>
    <row r="4" customFormat="false" ht="23.85" hidden="false" customHeight="false" outlineLevel="0" collapsed="false">
      <c r="A4" s="8" t="s">
        <v>1963</v>
      </c>
      <c r="B4" s="8" t="s">
        <v>1964</v>
      </c>
      <c r="C4" s="8" t="s">
        <v>1965</v>
      </c>
    </row>
    <row r="5" customFormat="false" ht="23.85" hidden="false" customHeight="false" outlineLevel="0" collapsed="false">
      <c r="A5" s="9" t="s">
        <v>1966</v>
      </c>
      <c r="B5" s="9" t="s">
        <v>1967</v>
      </c>
      <c r="C5" s="9" t="s">
        <v>1968</v>
      </c>
    </row>
    <row r="6" customFormat="false" ht="23.85" hidden="false" customHeight="false" outlineLevel="0" collapsed="false">
      <c r="A6" s="8" t="s">
        <v>1969</v>
      </c>
      <c r="B6" s="8" t="s">
        <v>1730</v>
      </c>
      <c r="C6" s="8" t="s">
        <v>1970</v>
      </c>
    </row>
    <row r="7" customFormat="false" ht="23.85" hidden="false" customHeight="false" outlineLevel="0" collapsed="false">
      <c r="A7" s="9" t="s">
        <v>767</v>
      </c>
      <c r="B7" s="9" t="s">
        <v>1568</v>
      </c>
      <c r="C7" s="9" t="s">
        <v>1971</v>
      </c>
    </row>
    <row r="8" customFormat="false" ht="23.85" hidden="false" customHeight="false" outlineLevel="0" collapsed="false">
      <c r="A8" s="8" t="s">
        <v>1972</v>
      </c>
      <c r="B8" s="8" t="s">
        <v>1803</v>
      </c>
      <c r="C8" s="8" t="s">
        <v>1973</v>
      </c>
    </row>
    <row r="9" customFormat="false" ht="15" hidden="false" customHeight="false" outlineLevel="0" collapsed="false">
      <c r="A9" s="9" t="s">
        <v>1974</v>
      </c>
      <c r="B9" s="9" t="s">
        <v>1975</v>
      </c>
      <c r="C9" s="9" t="s">
        <v>1976</v>
      </c>
    </row>
    <row r="10" customFormat="false" ht="15" hidden="false" customHeight="false" outlineLevel="0" collapsed="false">
      <c r="A10" s="8" t="s">
        <v>1284</v>
      </c>
      <c r="B10" s="8" t="s">
        <v>1977</v>
      </c>
      <c r="C10" s="8" t="s">
        <v>1978</v>
      </c>
    </row>
    <row r="11" customFormat="false" ht="15" hidden="false" customHeight="false" outlineLevel="0" collapsed="false">
      <c r="A11" s="9" t="s">
        <v>1979</v>
      </c>
      <c r="B11" s="9" t="s">
        <v>1980</v>
      </c>
      <c r="C11" s="9" t="s">
        <v>1981</v>
      </c>
    </row>
    <row r="12" customFormat="false" ht="23.85" hidden="false" customHeight="false" outlineLevel="0" collapsed="false">
      <c r="A12" s="8" t="s">
        <v>1982</v>
      </c>
      <c r="B12" s="8" t="s">
        <v>1983</v>
      </c>
      <c r="C12" s="8" t="s">
        <v>1984</v>
      </c>
    </row>
    <row r="13" customFormat="false" ht="15" hidden="false" customHeight="false" outlineLevel="0" collapsed="false">
      <c r="A13" s="9" t="s">
        <v>1985</v>
      </c>
      <c r="B13" s="9" t="s">
        <v>1986</v>
      </c>
      <c r="C13" s="9" t="s">
        <v>1987</v>
      </c>
    </row>
    <row r="14" customFormat="false" ht="23.85" hidden="false" customHeight="false" outlineLevel="0" collapsed="false">
      <c r="A14" s="8" t="s">
        <v>1988</v>
      </c>
      <c r="B14" s="8" t="s">
        <v>1989</v>
      </c>
      <c r="C14" s="8" t="s">
        <v>1990</v>
      </c>
    </row>
    <row r="15" customFormat="false" ht="23.85" hidden="false" customHeight="false" outlineLevel="0" collapsed="false">
      <c r="A15" s="9" t="s">
        <v>1991</v>
      </c>
      <c r="B15" s="9" t="s">
        <v>1992</v>
      </c>
      <c r="C15" s="9" t="s">
        <v>1993</v>
      </c>
    </row>
    <row r="16" customFormat="false" ht="23.85" hidden="false" customHeight="false" outlineLevel="0" collapsed="false">
      <c r="A16" s="8" t="s">
        <v>1994</v>
      </c>
      <c r="B16" s="8" t="s">
        <v>1995</v>
      </c>
      <c r="C16" s="8" t="s">
        <v>1996</v>
      </c>
    </row>
    <row r="17" customFormat="false" ht="23.85" hidden="false" customHeight="false" outlineLevel="0" collapsed="false">
      <c r="A17" s="9" t="s">
        <v>1997</v>
      </c>
      <c r="B17" s="9" t="s">
        <v>1919</v>
      </c>
      <c r="C17" s="9" t="s">
        <v>1998</v>
      </c>
    </row>
    <row r="18" customFormat="false" ht="15" hidden="false" customHeight="false" outlineLevel="0" collapsed="false">
      <c r="A18" s="8" t="s">
        <v>1999</v>
      </c>
      <c r="B18" s="8" t="s">
        <v>1943</v>
      </c>
      <c r="C18" s="8" t="s">
        <v>2000</v>
      </c>
    </row>
  </sheetData>
  <autoFilter ref="A3:C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8"/>
    <col collapsed="false" customWidth="true" hidden="false" outlineLevel="0" max="3" min="3" style="0" width="50"/>
    <col collapsed="false" customWidth="true" hidden="false" outlineLevel="0" max="4" min="4" style="0" width="28"/>
  </cols>
  <sheetData>
    <row r="1" customFormat="false" ht="19.7" hidden="false" customHeight="false" outlineLevel="0" collapsed="false">
      <c r="A1" s="1" t="s">
        <v>2001</v>
      </c>
    </row>
    <row r="2" customFormat="false" ht="15" hidden="false" customHeight="false" outlineLevel="0" collapsed="false">
      <c r="A2" s="2" t="s">
        <v>2002</v>
      </c>
    </row>
    <row r="3" customFormat="false" ht="15" hidden="false" customHeight="false" outlineLevel="0" collapsed="false">
      <c r="A3" s="7" t="s">
        <v>2003</v>
      </c>
      <c r="B3" s="7" t="s">
        <v>2004</v>
      </c>
      <c r="C3" s="7" t="s">
        <v>2005</v>
      </c>
      <c r="D3" s="7" t="s">
        <v>2006</v>
      </c>
    </row>
    <row r="4" customFormat="false" ht="15" hidden="false" customHeight="false" outlineLevel="0" collapsed="false">
      <c r="A4" s="8" t="s">
        <v>2007</v>
      </c>
      <c r="B4" s="8" t="s">
        <v>2008</v>
      </c>
      <c r="C4" s="8" t="s">
        <v>2009</v>
      </c>
      <c r="D4" s="8" t="s">
        <v>2010</v>
      </c>
    </row>
    <row r="5" customFormat="false" ht="15" hidden="false" customHeight="false" outlineLevel="0" collapsed="false">
      <c r="A5" s="9" t="s">
        <v>2011</v>
      </c>
      <c r="B5" s="9" t="s">
        <v>2012</v>
      </c>
      <c r="C5" s="9" t="s">
        <v>2013</v>
      </c>
      <c r="D5" s="9" t="s">
        <v>2014</v>
      </c>
    </row>
    <row r="6" customFormat="false" ht="15" hidden="false" customHeight="false" outlineLevel="0" collapsed="false">
      <c r="A6" s="8" t="s">
        <v>2015</v>
      </c>
      <c r="B6" s="8" t="s">
        <v>2016</v>
      </c>
      <c r="C6" s="8" t="s">
        <v>2017</v>
      </c>
      <c r="D6" s="8" t="s">
        <v>2018</v>
      </c>
    </row>
    <row r="7" customFormat="false" ht="15" hidden="false" customHeight="false" outlineLevel="0" collapsed="false">
      <c r="A7" s="9" t="s">
        <v>2019</v>
      </c>
      <c r="B7" s="9" t="s">
        <v>2020</v>
      </c>
      <c r="C7" s="9" t="s">
        <v>2021</v>
      </c>
      <c r="D7" s="9" t="s">
        <v>2022</v>
      </c>
    </row>
    <row r="8" customFormat="false" ht="15" hidden="false" customHeight="false" outlineLevel="0" collapsed="false">
      <c r="A8" s="8" t="s">
        <v>268</v>
      </c>
      <c r="B8" s="8" t="s">
        <v>269</v>
      </c>
      <c r="C8" s="8" t="s">
        <v>2023</v>
      </c>
      <c r="D8" s="8" t="s">
        <v>2024</v>
      </c>
    </row>
    <row r="9" customFormat="false" ht="23.85" hidden="false" customHeight="false" outlineLevel="0" collapsed="false">
      <c r="A9" s="9" t="s">
        <v>2025</v>
      </c>
      <c r="B9" s="9" t="s">
        <v>2026</v>
      </c>
      <c r="C9" s="9" t="s">
        <v>2027</v>
      </c>
      <c r="D9" s="9" t="s">
        <v>2028</v>
      </c>
    </row>
    <row r="10" customFormat="false" ht="15" hidden="false" customHeight="false" outlineLevel="0" collapsed="false">
      <c r="A10" s="8" t="s">
        <v>2029</v>
      </c>
      <c r="B10" s="8" t="s">
        <v>2030</v>
      </c>
      <c r="C10" s="8" t="s">
        <v>2031</v>
      </c>
      <c r="D10" s="8" t="s">
        <v>2032</v>
      </c>
    </row>
    <row r="11" customFormat="false" ht="15" hidden="false" customHeight="false" outlineLevel="0" collapsed="false">
      <c r="A11" s="9" t="s">
        <v>2033</v>
      </c>
      <c r="B11" s="9" t="s">
        <v>2034</v>
      </c>
      <c r="C11" s="9" t="s">
        <v>2035</v>
      </c>
      <c r="D11" s="9" t="s">
        <v>2036</v>
      </c>
    </row>
    <row r="12" customFormat="false" ht="15" hidden="false" customHeight="false" outlineLevel="0" collapsed="false">
      <c r="A12" s="8" t="s">
        <v>280</v>
      </c>
      <c r="B12" s="8" t="s">
        <v>2037</v>
      </c>
      <c r="C12" s="8" t="s">
        <v>2038</v>
      </c>
      <c r="D12" s="8" t="s">
        <v>2039</v>
      </c>
    </row>
    <row r="13" customFormat="false" ht="15" hidden="false" customHeight="false" outlineLevel="0" collapsed="false">
      <c r="A13" s="9" t="s">
        <v>2040</v>
      </c>
      <c r="B13" s="9" t="s">
        <v>2041</v>
      </c>
      <c r="C13" s="9" t="s">
        <v>2042</v>
      </c>
      <c r="D13" s="9" t="s">
        <v>2043</v>
      </c>
    </row>
    <row r="14" customFormat="false" ht="15" hidden="false" customHeight="false" outlineLevel="0" collapsed="false">
      <c r="A14" s="8" t="s">
        <v>2044</v>
      </c>
      <c r="B14" s="8" t="s">
        <v>2045</v>
      </c>
      <c r="C14" s="8" t="s">
        <v>2046</v>
      </c>
      <c r="D14" s="8" t="s">
        <v>2047</v>
      </c>
    </row>
    <row r="15" customFormat="false" ht="15" hidden="false" customHeight="false" outlineLevel="0" collapsed="false">
      <c r="A15" s="9" t="s">
        <v>1112</v>
      </c>
      <c r="B15" s="9" t="s">
        <v>2048</v>
      </c>
      <c r="C15" s="9" t="s">
        <v>2049</v>
      </c>
      <c r="D15" s="9" t="s">
        <v>2050</v>
      </c>
    </row>
    <row r="16" customFormat="false" ht="15" hidden="false" customHeight="false" outlineLevel="0" collapsed="false">
      <c r="A16" s="8" t="s">
        <v>2051</v>
      </c>
      <c r="B16" s="8" t="s">
        <v>2052</v>
      </c>
      <c r="C16" s="8" t="s">
        <v>2053</v>
      </c>
      <c r="D16" s="8" t="s">
        <v>2054</v>
      </c>
    </row>
    <row r="17" customFormat="false" ht="15" hidden="false" customHeight="false" outlineLevel="0" collapsed="false">
      <c r="A17" s="9" t="s">
        <v>2055</v>
      </c>
      <c r="B17" s="9" t="s">
        <v>2056</v>
      </c>
      <c r="C17" s="9" t="s">
        <v>2057</v>
      </c>
      <c r="D17" s="9" t="s">
        <v>2058</v>
      </c>
    </row>
    <row r="18" customFormat="false" ht="15" hidden="false" customHeight="false" outlineLevel="0" collapsed="false">
      <c r="A18" s="8" t="s">
        <v>2059</v>
      </c>
      <c r="B18" s="8" t="s">
        <v>2060</v>
      </c>
      <c r="C18" s="8" t="s">
        <v>2061</v>
      </c>
      <c r="D18" s="8" t="s">
        <v>2062</v>
      </c>
    </row>
    <row r="19" customFormat="false" ht="15" hidden="false" customHeight="false" outlineLevel="0" collapsed="false">
      <c r="A19" s="9" t="s">
        <v>2063</v>
      </c>
      <c r="B19" s="9" t="s">
        <v>2064</v>
      </c>
      <c r="C19" s="9" t="s">
        <v>2065</v>
      </c>
      <c r="D19" s="9"/>
    </row>
    <row r="20" customFormat="false" ht="15" hidden="false" customHeight="false" outlineLevel="0" collapsed="false">
      <c r="A20" s="8" t="s">
        <v>2066</v>
      </c>
      <c r="B20" s="8" t="s">
        <v>2067</v>
      </c>
      <c r="C20" s="8" t="s">
        <v>2068</v>
      </c>
      <c r="D20" s="8" t="s">
        <v>2069</v>
      </c>
    </row>
    <row r="21" customFormat="false" ht="15" hidden="false" customHeight="false" outlineLevel="0" collapsed="false">
      <c r="A21" s="9" t="s">
        <v>2070</v>
      </c>
      <c r="B21" s="9" t="s">
        <v>2071</v>
      </c>
      <c r="C21" s="9" t="s">
        <v>2072</v>
      </c>
      <c r="D21" s="9"/>
    </row>
    <row r="22" customFormat="false" ht="15" hidden="false" customHeight="false" outlineLevel="0" collapsed="false">
      <c r="A22" s="8" t="s">
        <v>2073</v>
      </c>
      <c r="B22" s="8" t="s">
        <v>2074</v>
      </c>
      <c r="C22" s="8" t="s">
        <v>2075</v>
      </c>
      <c r="D22" s="8"/>
    </row>
    <row r="23" customFormat="false" ht="15" hidden="false" customHeight="false" outlineLevel="0" collapsed="false">
      <c r="A23" s="9" t="s">
        <v>2076</v>
      </c>
      <c r="B23" s="9" t="s">
        <v>2077</v>
      </c>
      <c r="C23" s="9" t="s">
        <v>2078</v>
      </c>
      <c r="D23" s="9"/>
    </row>
    <row r="24" customFormat="false" ht="15" hidden="false" customHeight="false" outlineLevel="0" collapsed="false">
      <c r="A24" s="8" t="s">
        <v>2079</v>
      </c>
      <c r="B24" s="8" t="s">
        <v>2080</v>
      </c>
      <c r="C24" s="8" t="s">
        <v>2081</v>
      </c>
      <c r="D24" s="8" t="s">
        <v>2082</v>
      </c>
    </row>
    <row r="25" customFormat="false" ht="15" hidden="false" customHeight="false" outlineLevel="0" collapsed="false">
      <c r="A25" s="9" t="s">
        <v>2083</v>
      </c>
      <c r="B25" s="9" t="s">
        <v>2084</v>
      </c>
      <c r="C25" s="9" t="s">
        <v>2085</v>
      </c>
      <c r="D25" s="9" t="s">
        <v>2086</v>
      </c>
    </row>
    <row r="26" customFormat="false" ht="15" hidden="false" customHeight="false" outlineLevel="0" collapsed="false">
      <c r="A26" s="8" t="s">
        <v>2087</v>
      </c>
      <c r="B26" s="8" t="s">
        <v>2088</v>
      </c>
      <c r="C26" s="8" t="s">
        <v>2089</v>
      </c>
      <c r="D26" s="8" t="s">
        <v>2090</v>
      </c>
    </row>
    <row r="27" customFormat="false" ht="15" hidden="false" customHeight="false" outlineLevel="0" collapsed="false">
      <c r="A27" s="9" t="s">
        <v>2091</v>
      </c>
      <c r="B27" s="9" t="s">
        <v>2092</v>
      </c>
      <c r="C27" s="9" t="s">
        <v>2093</v>
      </c>
      <c r="D27" s="9"/>
    </row>
    <row r="28" customFormat="false" ht="15" hidden="false" customHeight="false" outlineLevel="0" collapsed="false">
      <c r="A28" s="8" t="s">
        <v>2094</v>
      </c>
      <c r="B28" s="8" t="s">
        <v>2095</v>
      </c>
      <c r="C28" s="8" t="s">
        <v>2096</v>
      </c>
      <c r="D28" s="8"/>
    </row>
    <row r="29" customFormat="false" ht="15" hidden="false" customHeight="false" outlineLevel="0" collapsed="false">
      <c r="A29" s="9" t="s">
        <v>1126</v>
      </c>
      <c r="B29" s="9" t="s">
        <v>2097</v>
      </c>
      <c r="C29" s="9" t="s">
        <v>2098</v>
      </c>
      <c r="D29" s="9"/>
    </row>
    <row r="30" customFormat="false" ht="15" hidden="false" customHeight="false" outlineLevel="0" collapsed="false">
      <c r="A30" s="8" t="s">
        <v>2099</v>
      </c>
      <c r="B30" s="8" t="s">
        <v>2100</v>
      </c>
      <c r="C30" s="8" t="s">
        <v>2101</v>
      </c>
      <c r="D30" s="8"/>
    </row>
    <row r="31" customFormat="false" ht="15" hidden="false" customHeight="false" outlineLevel="0" collapsed="false">
      <c r="A31" s="9" t="s">
        <v>2102</v>
      </c>
      <c r="B31" s="9" t="s">
        <v>2103</v>
      </c>
      <c r="C31" s="9" t="s">
        <v>2104</v>
      </c>
      <c r="D31" s="9"/>
    </row>
    <row r="32" customFormat="false" ht="23.85" hidden="false" customHeight="false" outlineLevel="0" collapsed="false">
      <c r="A32" s="8" t="s">
        <v>2105</v>
      </c>
      <c r="B32" s="8" t="s">
        <v>2106</v>
      </c>
      <c r="C32" s="8" t="s">
        <v>2107</v>
      </c>
      <c r="D32" s="8" t="s">
        <v>2108</v>
      </c>
    </row>
    <row r="33" customFormat="false" ht="15" hidden="false" customHeight="false" outlineLevel="0" collapsed="false">
      <c r="A33" s="9" t="s">
        <v>2109</v>
      </c>
      <c r="B33" s="9" t="s">
        <v>2110</v>
      </c>
      <c r="C33" s="9" t="s">
        <v>2111</v>
      </c>
      <c r="D33" s="9"/>
    </row>
    <row r="34" customFormat="false" ht="23.85" hidden="false" customHeight="false" outlineLevel="0" collapsed="false">
      <c r="A34" s="8" t="s">
        <v>2112</v>
      </c>
      <c r="B34" s="8" t="s">
        <v>2113</v>
      </c>
      <c r="C34" s="8" t="s">
        <v>2114</v>
      </c>
      <c r="D34" s="8"/>
    </row>
    <row r="35" customFormat="false" ht="15" hidden="false" customHeight="false" outlineLevel="0" collapsed="false">
      <c r="A35" s="9" t="s">
        <v>2115</v>
      </c>
      <c r="B35" s="9" t="s">
        <v>2116</v>
      </c>
      <c r="C35" s="9" t="s">
        <v>2117</v>
      </c>
      <c r="D35" s="9"/>
    </row>
  </sheetData>
  <autoFilter ref="A3:D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5"/>
    <col collapsed="false" customWidth="true" hidden="false" outlineLevel="0" max="4" min="4" style="0" width="80"/>
    <col collapsed="false" customWidth="true" hidden="false" outlineLevel="0" max="5" min="5" style="0" width="14"/>
  </cols>
  <sheetData>
    <row r="1" customFormat="false" ht="19.7" hidden="false" customHeight="false" outlineLevel="0" collapsed="false">
      <c r="A1" s="1" t="s">
        <v>2118</v>
      </c>
    </row>
    <row r="3" customFormat="false" ht="15" hidden="false" customHeight="false" outlineLevel="0" collapsed="false">
      <c r="A3" s="7" t="s">
        <v>124</v>
      </c>
      <c r="B3" s="7" t="s">
        <v>708</v>
      </c>
      <c r="C3" s="7" t="s">
        <v>12</v>
      </c>
      <c r="D3" s="7" t="s">
        <v>2119</v>
      </c>
      <c r="E3" s="7" t="s">
        <v>2120</v>
      </c>
    </row>
    <row r="4" customFormat="false" ht="15" hidden="false" customHeight="false" outlineLevel="0" collapsed="false">
      <c r="A4" s="8" t="s">
        <v>2121</v>
      </c>
      <c r="B4" s="8" t="s">
        <v>758</v>
      </c>
      <c r="C4" s="8" t="s">
        <v>2122</v>
      </c>
      <c r="D4" s="8" t="s">
        <v>2123</v>
      </c>
      <c r="E4" s="8" t="s">
        <v>2124</v>
      </c>
    </row>
    <row r="5" customFormat="false" ht="15" hidden="false" customHeight="false" outlineLevel="0" collapsed="false">
      <c r="A5" s="9" t="s">
        <v>2125</v>
      </c>
      <c r="B5" s="9" t="s">
        <v>2126</v>
      </c>
      <c r="C5" s="9" t="s">
        <v>2127</v>
      </c>
      <c r="D5" s="9" t="s">
        <v>2128</v>
      </c>
      <c r="E5" s="9" t="s">
        <v>2129</v>
      </c>
    </row>
    <row r="6" customFormat="false" ht="15" hidden="false" customHeight="false" outlineLevel="0" collapsed="false">
      <c r="A6" s="8" t="s">
        <v>2130</v>
      </c>
      <c r="B6" s="8" t="s">
        <v>2131</v>
      </c>
      <c r="C6" s="8" t="s">
        <v>2132</v>
      </c>
      <c r="D6" s="8" t="s">
        <v>2133</v>
      </c>
      <c r="E6" s="8" t="s">
        <v>2124</v>
      </c>
    </row>
    <row r="7" customFormat="false" ht="15" hidden="false" customHeight="false" outlineLevel="0" collapsed="false">
      <c r="A7" s="9" t="s">
        <v>2134</v>
      </c>
      <c r="B7" s="9" t="s">
        <v>716</v>
      </c>
      <c r="C7" s="9" t="s">
        <v>2135</v>
      </c>
      <c r="D7" s="9" t="s">
        <v>2136</v>
      </c>
      <c r="E7" s="9" t="s">
        <v>2124</v>
      </c>
    </row>
    <row r="8" customFormat="false" ht="23.85" hidden="false" customHeight="false" outlineLevel="0" collapsed="false">
      <c r="A8" s="8" t="s">
        <v>2137</v>
      </c>
      <c r="B8" s="8" t="s">
        <v>719</v>
      </c>
      <c r="C8" s="8" t="s">
        <v>2138</v>
      </c>
      <c r="D8" s="8" t="s">
        <v>2139</v>
      </c>
      <c r="E8" s="8" t="s">
        <v>2129</v>
      </c>
    </row>
    <row r="9" customFormat="false" ht="23.85" hidden="false" customHeight="false" outlineLevel="0" collapsed="false">
      <c r="A9" s="9" t="s">
        <v>2140</v>
      </c>
      <c r="B9" s="9" t="s">
        <v>726</v>
      </c>
      <c r="C9" s="9" t="s">
        <v>2141</v>
      </c>
      <c r="D9" s="9" t="s">
        <v>2142</v>
      </c>
      <c r="E9" s="9" t="s">
        <v>2129</v>
      </c>
    </row>
    <row r="10" customFormat="false" ht="23.85" hidden="false" customHeight="false" outlineLevel="0" collapsed="false">
      <c r="A10" s="8" t="s">
        <v>2143</v>
      </c>
      <c r="B10" s="8" t="s">
        <v>2144</v>
      </c>
      <c r="C10" s="8" t="s">
        <v>2145</v>
      </c>
      <c r="D10" s="8" t="s">
        <v>2146</v>
      </c>
      <c r="E10" s="8" t="s">
        <v>2129</v>
      </c>
    </row>
    <row r="11" customFormat="false" ht="23.85" hidden="false" customHeight="false" outlineLevel="0" collapsed="false">
      <c r="A11" s="9" t="s">
        <v>2147</v>
      </c>
      <c r="B11" s="9" t="s">
        <v>2148</v>
      </c>
      <c r="C11" s="9" t="s">
        <v>2149</v>
      </c>
      <c r="D11" s="9" t="s">
        <v>2150</v>
      </c>
      <c r="E11" s="9" t="s">
        <v>2129</v>
      </c>
    </row>
    <row r="12" customFormat="false" ht="23.85" hidden="false" customHeight="false" outlineLevel="0" collapsed="false">
      <c r="A12" s="8" t="s">
        <v>2151</v>
      </c>
      <c r="B12" s="8" t="s">
        <v>2152</v>
      </c>
      <c r="C12" s="8" t="s">
        <v>2153</v>
      </c>
      <c r="D12" s="8" t="s">
        <v>2154</v>
      </c>
      <c r="E12" s="8" t="s">
        <v>2124</v>
      </c>
    </row>
    <row r="13" customFormat="false" ht="15" hidden="false" customHeight="false" outlineLevel="0" collapsed="false">
      <c r="A13" s="9" t="s">
        <v>2155</v>
      </c>
      <c r="B13" s="9" t="s">
        <v>898</v>
      </c>
      <c r="C13" s="9" t="s">
        <v>2156</v>
      </c>
      <c r="D13" s="9" t="s">
        <v>2157</v>
      </c>
      <c r="E13" s="9" t="s">
        <v>2124</v>
      </c>
    </row>
    <row r="14" customFormat="false" ht="15" hidden="false" customHeight="false" outlineLevel="0" collapsed="false">
      <c r="A14" s="8" t="s">
        <v>2158</v>
      </c>
      <c r="B14" s="8" t="s">
        <v>745</v>
      </c>
      <c r="C14" s="8" t="s">
        <v>2159</v>
      </c>
      <c r="D14" s="8" t="s">
        <v>2160</v>
      </c>
      <c r="E14" s="8" t="s">
        <v>918</v>
      </c>
    </row>
    <row r="15" customFormat="false" ht="15" hidden="false" customHeight="false" outlineLevel="0" collapsed="false">
      <c r="A15" s="9" t="s">
        <v>2161</v>
      </c>
      <c r="B15" s="9" t="s">
        <v>749</v>
      </c>
      <c r="C15" s="9" t="s">
        <v>2162</v>
      </c>
      <c r="D15" s="9" t="s">
        <v>2163</v>
      </c>
      <c r="E15" s="9" t="s">
        <v>2124</v>
      </c>
    </row>
    <row r="16" customFormat="false" ht="15" hidden="false" customHeight="false" outlineLevel="0" collapsed="false">
      <c r="A16" s="8" t="s">
        <v>2164</v>
      </c>
      <c r="B16" s="8" t="s">
        <v>879</v>
      </c>
      <c r="C16" s="8" t="s">
        <v>2165</v>
      </c>
      <c r="D16" s="8" t="s">
        <v>2166</v>
      </c>
      <c r="E16" s="8" t="s">
        <v>2129</v>
      </c>
    </row>
    <row r="17" customFormat="false" ht="15" hidden="false" customHeight="false" outlineLevel="0" collapsed="false">
      <c r="A17" s="9" t="s">
        <v>2167</v>
      </c>
      <c r="B17" s="9" t="s">
        <v>2168</v>
      </c>
      <c r="C17" s="9" t="s">
        <v>2169</v>
      </c>
      <c r="D17" s="9" t="s">
        <v>2170</v>
      </c>
      <c r="E17" s="9" t="s">
        <v>2129</v>
      </c>
    </row>
    <row r="18" customFormat="false" ht="15" hidden="false" customHeight="false" outlineLevel="0" collapsed="false">
      <c r="A18" s="8" t="s">
        <v>2171</v>
      </c>
      <c r="B18" s="8" t="s">
        <v>2172</v>
      </c>
      <c r="C18" s="8" t="s">
        <v>2173</v>
      </c>
      <c r="D18" s="8" t="s">
        <v>2174</v>
      </c>
      <c r="E18" s="8" t="s">
        <v>2129</v>
      </c>
    </row>
    <row r="19" customFormat="false" ht="15" hidden="false" customHeight="false" outlineLevel="0" collapsed="false">
      <c r="A19" s="9" t="s">
        <v>2175</v>
      </c>
      <c r="B19" s="9" t="s">
        <v>922</v>
      </c>
      <c r="C19" s="9" t="s">
        <v>2176</v>
      </c>
      <c r="D19" s="9" t="s">
        <v>2177</v>
      </c>
      <c r="E19" s="9" t="s">
        <v>2178</v>
      </c>
    </row>
    <row r="20" customFormat="false" ht="23.85" hidden="false" customHeight="false" outlineLevel="0" collapsed="false">
      <c r="A20" s="8" t="s">
        <v>2179</v>
      </c>
      <c r="B20" s="8" t="s">
        <v>539</v>
      </c>
      <c r="C20" s="8" t="s">
        <v>2180</v>
      </c>
      <c r="D20" s="8" t="s">
        <v>2181</v>
      </c>
      <c r="E20" s="8" t="s">
        <v>2124</v>
      </c>
    </row>
    <row r="21" customFormat="false" ht="15" hidden="false" customHeight="false" outlineLevel="0" collapsed="false">
      <c r="A21" s="9" t="s">
        <v>2182</v>
      </c>
      <c r="B21" s="9" t="s">
        <v>2183</v>
      </c>
      <c r="C21" s="9" t="s">
        <v>2184</v>
      </c>
      <c r="D21" s="9" t="s">
        <v>2185</v>
      </c>
      <c r="E21" s="9" t="s">
        <v>2124</v>
      </c>
    </row>
  </sheetData>
  <autoFilter ref="A3:E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4" min="3" style="0" width="16"/>
    <col collapsed="false" customWidth="true" hidden="false" outlineLevel="0" max="5" min="5" style="0" width="45"/>
  </cols>
  <sheetData>
    <row r="1" customFormat="false" ht="19.7" hidden="false" customHeight="false" outlineLevel="0" collapsed="false">
      <c r="A1" s="1" t="s">
        <v>2186</v>
      </c>
    </row>
    <row r="2" customFormat="false" ht="15" hidden="false" customHeight="false" outlineLevel="0" collapsed="false">
      <c r="A2" s="2" t="s">
        <v>2187</v>
      </c>
    </row>
    <row r="3" customFormat="false" ht="57.45" hidden="false" customHeight="false" outlineLevel="0" collapsed="false">
      <c r="A3" s="3" t="s">
        <v>2188</v>
      </c>
      <c r="B3" s="4" t="s">
        <v>2189</v>
      </c>
    </row>
    <row r="4" customFormat="false" ht="102.2" hidden="false" customHeight="false" outlineLevel="0" collapsed="false">
      <c r="A4" s="3" t="s">
        <v>515</v>
      </c>
      <c r="B4" s="4" t="s">
        <v>2190</v>
      </c>
    </row>
    <row r="5" customFormat="false" ht="35.05" hidden="false" customHeight="false" outlineLevel="0" collapsed="false">
      <c r="A5" s="3" t="s">
        <v>2191</v>
      </c>
      <c r="B5" s="4" t="s">
        <v>2192</v>
      </c>
    </row>
    <row r="6" customFormat="false" ht="46.25" hidden="false" customHeight="false" outlineLevel="0" collapsed="false">
      <c r="A6" s="3" t="s">
        <v>2193</v>
      </c>
      <c r="B6" s="4" t="s">
        <v>2194</v>
      </c>
    </row>
    <row r="7" customFormat="false" ht="46.25" hidden="false" customHeight="false" outlineLevel="0" collapsed="false">
      <c r="A7" s="3" t="s">
        <v>543</v>
      </c>
      <c r="B7" s="4" t="s">
        <v>2195</v>
      </c>
    </row>
    <row r="9" customFormat="false" ht="15" hidden="false" customHeight="false" outlineLevel="0" collapsed="false">
      <c r="A9" s="7" t="s">
        <v>2196</v>
      </c>
      <c r="B9" s="7" t="s">
        <v>2197</v>
      </c>
      <c r="C9" s="7" t="s">
        <v>2198</v>
      </c>
      <c r="D9" s="7" t="s">
        <v>2199</v>
      </c>
      <c r="E9" s="7" t="s">
        <v>1531</v>
      </c>
    </row>
    <row r="10" customFormat="false" ht="15" hidden="false" customHeight="false" outlineLevel="0" collapsed="false">
      <c r="A10" s="8" t="s">
        <v>2200</v>
      </c>
      <c r="B10" s="8" t="s">
        <v>2201</v>
      </c>
      <c r="C10" s="8" t="s">
        <v>2202</v>
      </c>
      <c r="D10" s="8"/>
      <c r="E10" s="8" t="s">
        <v>2203</v>
      </c>
    </row>
    <row r="11" customFormat="false" ht="23.85" hidden="false" customHeight="false" outlineLevel="0" collapsed="false">
      <c r="A11" s="9" t="s">
        <v>2204</v>
      </c>
      <c r="B11" s="9" t="s">
        <v>2205</v>
      </c>
      <c r="C11" s="9" t="s">
        <v>2206</v>
      </c>
      <c r="D11" s="9" t="s">
        <v>2207</v>
      </c>
      <c r="E11" s="9" t="s">
        <v>2208</v>
      </c>
    </row>
    <row r="12" customFormat="false" ht="23.85" hidden="false" customHeight="false" outlineLevel="0" collapsed="false">
      <c r="A12" s="8" t="s">
        <v>2209</v>
      </c>
      <c r="B12" s="8" t="s">
        <v>2210</v>
      </c>
      <c r="C12" s="8" t="s">
        <v>2211</v>
      </c>
      <c r="D12" s="8" t="s">
        <v>2212</v>
      </c>
      <c r="E12" s="8"/>
    </row>
    <row r="13" customFormat="false" ht="23.85" hidden="false" customHeight="false" outlineLevel="0" collapsed="false">
      <c r="A13" s="9" t="s">
        <v>2213</v>
      </c>
      <c r="B13" s="9" t="s">
        <v>2214</v>
      </c>
      <c r="C13" s="9" t="s">
        <v>2215</v>
      </c>
      <c r="D13" s="9" t="s">
        <v>2216</v>
      </c>
      <c r="E13" s="9" t="s">
        <v>2217</v>
      </c>
    </row>
    <row r="14" customFormat="false" ht="15" hidden="false" customHeight="false" outlineLevel="0" collapsed="false">
      <c r="A14" s="8" t="s">
        <v>2218</v>
      </c>
      <c r="B14" s="8" t="s">
        <v>2219</v>
      </c>
      <c r="C14" s="8" t="s">
        <v>2220</v>
      </c>
      <c r="D14" s="8" t="s">
        <v>2206</v>
      </c>
      <c r="E14" s="8"/>
    </row>
    <row r="15" customFormat="false" ht="15" hidden="false" customHeight="false" outlineLevel="0" collapsed="false">
      <c r="A15" s="9" t="s">
        <v>2221</v>
      </c>
      <c r="B15" s="9" t="s">
        <v>2222</v>
      </c>
      <c r="C15" s="9" t="s">
        <v>2223</v>
      </c>
      <c r="D15" s="9" t="s">
        <v>2224</v>
      </c>
      <c r="E15" s="9" t="s">
        <v>2225</v>
      </c>
    </row>
    <row r="16" customFormat="false" ht="23.85" hidden="false" customHeight="false" outlineLevel="0" collapsed="false">
      <c r="A16" s="8" t="s">
        <v>2226</v>
      </c>
      <c r="B16" s="8" t="s">
        <v>2227</v>
      </c>
      <c r="C16" s="8" t="s">
        <v>2228</v>
      </c>
      <c r="D16" s="8" t="s">
        <v>2228</v>
      </c>
      <c r="E16" s="8" t="s">
        <v>2229</v>
      </c>
    </row>
    <row r="17" customFormat="false" ht="15" hidden="false" customHeight="false" outlineLevel="0" collapsed="false">
      <c r="A17" s="9" t="s">
        <v>2230</v>
      </c>
      <c r="B17" s="9" t="s">
        <v>2231</v>
      </c>
      <c r="C17" s="9"/>
      <c r="D17" s="9" t="s">
        <v>2232</v>
      </c>
      <c r="E17" s="9" t="s">
        <v>2233</v>
      </c>
    </row>
    <row r="18" customFormat="false" ht="15" hidden="false" customHeight="false" outlineLevel="0" collapsed="false">
      <c r="A18" s="8" t="s">
        <v>2234</v>
      </c>
      <c r="B18" s="8" t="s">
        <v>2235</v>
      </c>
      <c r="C18" s="8" t="s">
        <v>2236</v>
      </c>
      <c r="D18" s="8" t="s">
        <v>2232</v>
      </c>
      <c r="E18" s="8"/>
    </row>
    <row r="19" customFormat="false" ht="15" hidden="false" customHeight="false" outlineLevel="0" collapsed="false">
      <c r="A19" s="9" t="s">
        <v>2237</v>
      </c>
      <c r="B19" s="9" t="s">
        <v>2238</v>
      </c>
      <c r="C19" s="9" t="s">
        <v>2239</v>
      </c>
      <c r="D19" s="9" t="s">
        <v>2240</v>
      </c>
      <c r="E19" s="9" t="s">
        <v>2241</v>
      </c>
    </row>
    <row r="20" customFormat="false" ht="15" hidden="false" customHeight="false" outlineLevel="0" collapsed="false">
      <c r="A20" s="8" t="s">
        <v>2242</v>
      </c>
      <c r="B20" s="8" t="s">
        <v>2243</v>
      </c>
      <c r="C20" s="8" t="s">
        <v>2244</v>
      </c>
      <c r="D20" s="8" t="s">
        <v>2245</v>
      </c>
      <c r="E20" s="8" t="s">
        <v>2246</v>
      </c>
    </row>
    <row r="21" customFormat="false" ht="15" hidden="false" customHeight="false" outlineLevel="0" collapsed="false">
      <c r="A21" s="9" t="s">
        <v>2247</v>
      </c>
      <c r="B21" s="9" t="s">
        <v>2248</v>
      </c>
      <c r="C21" s="9" t="s">
        <v>2249</v>
      </c>
      <c r="D21" s="9" t="s">
        <v>2250</v>
      </c>
      <c r="E21" s="9" t="s">
        <v>2251</v>
      </c>
    </row>
    <row r="22" customFormat="false" ht="23.85" hidden="false" customHeight="false" outlineLevel="0" collapsed="false">
      <c r="A22" s="8" t="s">
        <v>2252</v>
      </c>
      <c r="B22" s="8" t="s">
        <v>2253</v>
      </c>
      <c r="C22" s="8" t="s">
        <v>2254</v>
      </c>
      <c r="D22" s="8"/>
      <c r="E22" s="8"/>
    </row>
    <row r="23" customFormat="false" ht="23.85" hidden="false" customHeight="false" outlineLevel="0" collapsed="false">
      <c r="A23" s="9" t="s">
        <v>2255</v>
      </c>
      <c r="B23" s="9" t="s">
        <v>2256</v>
      </c>
      <c r="C23" s="9" t="s">
        <v>2257</v>
      </c>
      <c r="D23" s="9"/>
      <c r="E23" s="9"/>
    </row>
    <row r="24" customFormat="false" ht="23.85" hidden="false" customHeight="false" outlineLevel="0" collapsed="false">
      <c r="A24" s="8" t="s">
        <v>2258</v>
      </c>
      <c r="B24" s="8" t="s">
        <v>2259</v>
      </c>
      <c r="C24" s="8" t="s">
        <v>2260</v>
      </c>
      <c r="D24" s="8"/>
      <c r="E24" s="8"/>
    </row>
    <row r="25" customFormat="false" ht="23.85" hidden="false" customHeight="false" outlineLevel="0" collapsed="false">
      <c r="A25" s="9" t="s">
        <v>2261</v>
      </c>
      <c r="B25" s="9" t="s">
        <v>2262</v>
      </c>
      <c r="C25" s="9" t="s">
        <v>2263</v>
      </c>
      <c r="D25" s="9"/>
      <c r="E25" s="9"/>
    </row>
    <row r="26" customFormat="false" ht="15" hidden="false" customHeight="false" outlineLevel="0" collapsed="false">
      <c r="A26" s="8" t="s">
        <v>2264</v>
      </c>
      <c r="B26" s="8" t="s">
        <v>2265</v>
      </c>
      <c r="C26" s="8" t="s">
        <v>2239</v>
      </c>
      <c r="D26" s="8" t="s">
        <v>2240</v>
      </c>
      <c r="E26" s="8"/>
    </row>
    <row r="27" customFormat="false" ht="15" hidden="false" customHeight="false" outlineLevel="0" collapsed="false">
      <c r="A27" s="9" t="s">
        <v>2266</v>
      </c>
      <c r="B27" s="9" t="s">
        <v>2267</v>
      </c>
      <c r="C27" s="9" t="s">
        <v>2220</v>
      </c>
      <c r="D27" s="9" t="s">
        <v>2206</v>
      </c>
      <c r="E27" s="9"/>
    </row>
    <row r="28" customFormat="false" ht="15" hidden="false" customHeight="false" outlineLevel="0" collapsed="false">
      <c r="A28" s="8" t="s">
        <v>2268</v>
      </c>
      <c r="B28" s="8" t="s">
        <v>2269</v>
      </c>
      <c r="C28" s="8" t="s">
        <v>2244</v>
      </c>
      <c r="D28" s="8" t="s">
        <v>2245</v>
      </c>
      <c r="E28" s="8"/>
    </row>
    <row r="29" customFormat="false" ht="15" hidden="false" customHeight="false" outlineLevel="0" collapsed="false">
      <c r="A29" s="9" t="s">
        <v>2270</v>
      </c>
      <c r="B29" s="9" t="s">
        <v>2271</v>
      </c>
      <c r="C29" s="9" t="s">
        <v>2272</v>
      </c>
      <c r="D29" s="9" t="s">
        <v>2273</v>
      </c>
      <c r="E29" s="9"/>
    </row>
    <row r="31" customFormat="false" ht="15" hidden="false" customHeight="false" outlineLevel="0" collapsed="false">
      <c r="A31" s="7" t="s">
        <v>1218</v>
      </c>
      <c r="B31" s="7" t="s">
        <v>2274</v>
      </c>
    </row>
    <row r="32" customFormat="false" ht="35.05" hidden="false" customHeight="false" outlineLevel="0" collapsed="false">
      <c r="A32" s="8" t="s">
        <v>2275</v>
      </c>
      <c r="B32" s="8" t="s">
        <v>2276</v>
      </c>
    </row>
    <row r="33" customFormat="false" ht="15" hidden="false" customHeight="false" outlineLevel="0" collapsed="false">
      <c r="A33" s="9" t="s">
        <v>2277</v>
      </c>
      <c r="B33" s="9" t="s">
        <v>2278</v>
      </c>
    </row>
    <row r="34" customFormat="false" ht="35.05" hidden="false" customHeight="false" outlineLevel="0" collapsed="false">
      <c r="A34" s="8" t="s">
        <v>873</v>
      </c>
      <c r="B34" s="8" t="s">
        <v>2279</v>
      </c>
    </row>
    <row r="35" customFormat="false" ht="35.05" hidden="false" customHeight="false" outlineLevel="0" collapsed="false">
      <c r="A35" s="9" t="s">
        <v>2280</v>
      </c>
      <c r="B35" s="9" t="s">
        <v>2281</v>
      </c>
    </row>
    <row r="36" customFormat="false" ht="35.05" hidden="false" customHeight="false" outlineLevel="0" collapsed="false">
      <c r="A36" s="8" t="s">
        <v>2282</v>
      </c>
      <c r="B36" s="8" t="s">
        <v>2283</v>
      </c>
    </row>
    <row r="37" customFormat="false" ht="35.05" hidden="false" customHeight="false" outlineLevel="0" collapsed="false">
      <c r="A37" s="9" t="s">
        <v>2284</v>
      </c>
      <c r="B37" s="9" t="s">
        <v>2285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8"/>
    <col collapsed="false" customWidth="true" hidden="false" outlineLevel="0" max="6" min="6" style="0" width="50"/>
    <col collapsed="false" customWidth="true" hidden="false" outlineLevel="0" max="7" min="7" style="0" width="25"/>
  </cols>
  <sheetData>
    <row r="1" customFormat="false" ht="19.7" hidden="false" customHeight="false" outlineLevel="0" collapsed="false">
      <c r="A1" s="1" t="s">
        <v>2286</v>
      </c>
    </row>
    <row r="2" customFormat="false" ht="15" hidden="false" customHeight="false" outlineLevel="0" collapsed="false">
      <c r="A2" s="2" t="s">
        <v>2287</v>
      </c>
    </row>
    <row r="3" customFormat="false" ht="23.85" hidden="false" customHeight="false" outlineLevel="0" collapsed="false">
      <c r="A3" s="7" t="s">
        <v>2288</v>
      </c>
      <c r="B3" s="7" t="s">
        <v>2289</v>
      </c>
      <c r="C3" s="7" t="s">
        <v>2290</v>
      </c>
      <c r="D3" s="7" t="s">
        <v>2291</v>
      </c>
      <c r="E3" s="7" t="s">
        <v>2292</v>
      </c>
      <c r="F3" s="7" t="s">
        <v>2293</v>
      </c>
      <c r="G3" s="7" t="s">
        <v>2294</v>
      </c>
    </row>
    <row r="4" customFormat="false" ht="15" hidden="false" customHeight="false" outlineLevel="0" collapsed="false">
      <c r="A4" s="8" t="s">
        <v>2295</v>
      </c>
      <c r="B4" s="32" t="n">
        <v>0</v>
      </c>
      <c r="C4" s="33" t="n">
        <v>1</v>
      </c>
      <c r="D4" s="33" t="n">
        <v>5</v>
      </c>
      <c r="E4" s="33" t="n">
        <v>1</v>
      </c>
      <c r="F4" s="8" t="s">
        <v>2296</v>
      </c>
      <c r="G4" s="8" t="s">
        <v>2297</v>
      </c>
    </row>
    <row r="5" customFormat="false" ht="15" hidden="false" customHeight="false" outlineLevel="0" collapsed="false">
      <c r="A5" s="9" t="s">
        <v>610</v>
      </c>
      <c r="B5" s="34" t="n">
        <v>79</v>
      </c>
      <c r="C5" s="35" t="n">
        <v>5</v>
      </c>
      <c r="D5" s="35" t="n">
        <v>40</v>
      </c>
      <c r="E5" s="35" t="n">
        <v>1</v>
      </c>
      <c r="F5" s="9" t="s">
        <v>2298</v>
      </c>
      <c r="G5" s="9" t="s">
        <v>606</v>
      </c>
    </row>
    <row r="6" customFormat="false" ht="15" hidden="false" customHeight="false" outlineLevel="0" collapsed="false">
      <c r="A6" s="8" t="s">
        <v>616</v>
      </c>
      <c r="B6" s="32" t="n">
        <v>199</v>
      </c>
      <c r="C6" s="33" t="n">
        <v>12</v>
      </c>
      <c r="D6" s="33" t="n">
        <v>100</v>
      </c>
      <c r="E6" s="33" t="n">
        <v>3</v>
      </c>
      <c r="F6" s="8" t="s">
        <v>2299</v>
      </c>
      <c r="G6" s="8" t="s">
        <v>612</v>
      </c>
    </row>
    <row r="7" customFormat="false" ht="15" hidden="false" customHeight="false" outlineLevel="0" collapsed="false">
      <c r="A7" s="9" t="s">
        <v>629</v>
      </c>
      <c r="B7" s="34" t="n">
        <v>699</v>
      </c>
      <c r="C7" s="35" t="n">
        <v>40</v>
      </c>
      <c r="D7" s="35" t="n">
        <v>400</v>
      </c>
      <c r="E7" s="35" t="n">
        <v>10</v>
      </c>
      <c r="F7" s="9" t="s">
        <v>2300</v>
      </c>
      <c r="G7" s="9" t="s">
        <v>2301</v>
      </c>
    </row>
    <row r="9" customFormat="false" ht="15" hidden="false" customHeight="false" outlineLevel="0" collapsed="false">
      <c r="A9" s="7" t="s">
        <v>2302</v>
      </c>
      <c r="B9" s="7" t="s">
        <v>1972</v>
      </c>
      <c r="C9" s="7" t="s">
        <v>2303</v>
      </c>
      <c r="D9" s="36" t="s">
        <v>2304</v>
      </c>
    </row>
    <row r="10" customFormat="false" ht="15" hidden="false" customHeight="false" outlineLevel="0" collapsed="false">
      <c r="A10" s="8" t="s">
        <v>2305</v>
      </c>
      <c r="B10" s="33" t="n">
        <v>25</v>
      </c>
      <c r="C10" s="37" t="n">
        <v>39</v>
      </c>
      <c r="D10" s="38" t="n">
        <f aca="false">C10/B10</f>
        <v>1.56</v>
      </c>
    </row>
    <row r="11" customFormat="false" ht="15" hidden="false" customHeight="false" outlineLevel="0" collapsed="false">
      <c r="A11" s="9" t="s">
        <v>2306</v>
      </c>
      <c r="B11" s="35" t="n">
        <v>100</v>
      </c>
      <c r="C11" s="39" t="n">
        <v>129</v>
      </c>
      <c r="D11" s="38" t="n">
        <f aca="false">C11/B11</f>
        <v>1.29</v>
      </c>
    </row>
    <row r="13" customFormat="false" ht="202.95" hidden="false" customHeight="false" outlineLevel="0" collapsed="false">
      <c r="A13" s="3" t="s">
        <v>2307</v>
      </c>
      <c r="B13" s="4" t="s">
        <v>2308</v>
      </c>
    </row>
    <row r="14" customFormat="false" ht="68.65" hidden="false" customHeight="false" outlineLevel="0" collapsed="false">
      <c r="A14" s="3" t="s">
        <v>2309</v>
      </c>
      <c r="B14" s="4" t="s">
        <v>2310</v>
      </c>
    </row>
    <row r="15" customFormat="false" ht="35.05" hidden="false" customHeight="false" outlineLevel="0" collapsed="false">
      <c r="A15" s="3" t="s">
        <v>2311</v>
      </c>
      <c r="B15" s="4" t="s">
        <v>2312</v>
      </c>
    </row>
    <row r="16" customFormat="false" ht="158.2" hidden="false" customHeight="false" outlineLevel="0" collapsed="false">
      <c r="A16" s="3" t="s">
        <v>2313</v>
      </c>
      <c r="B16" s="4" t="s">
        <v>2314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60"/>
    <col collapsed="false" customWidth="true" hidden="false" outlineLevel="0" max="6" min="4" style="0" width="14"/>
  </cols>
  <sheetData>
    <row r="1" customFormat="false" ht="19.7" hidden="false" customHeight="false" outlineLevel="0" collapsed="false">
      <c r="A1" s="1" t="s">
        <v>2315</v>
      </c>
    </row>
    <row r="2" customFormat="false" ht="15" hidden="false" customHeight="false" outlineLevel="0" collapsed="false">
      <c r="A2" s="2" t="s">
        <v>2316</v>
      </c>
    </row>
    <row r="3" customFormat="false" ht="15" hidden="false" customHeight="false" outlineLevel="0" collapsed="false">
      <c r="A3" s="5" t="s">
        <v>2317</v>
      </c>
      <c r="B3" s="6"/>
      <c r="C3" s="6"/>
    </row>
    <row r="4" customFormat="false" ht="15" hidden="false" customHeight="false" outlineLevel="0" collapsed="false">
      <c r="A4" s="17" t="s">
        <v>2318</v>
      </c>
      <c r="B4" s="40" t="n">
        <v>300</v>
      </c>
      <c r="C4" s="28" t="s">
        <v>2319</v>
      </c>
    </row>
    <row r="5" customFormat="false" ht="15" hidden="false" customHeight="false" outlineLevel="0" collapsed="false">
      <c r="A5" s="17" t="s">
        <v>2320</v>
      </c>
      <c r="B5" s="41" t="n">
        <v>1.5</v>
      </c>
      <c r="C5" s="28" t="s">
        <v>2321</v>
      </c>
    </row>
    <row r="6" customFormat="false" ht="15" hidden="false" customHeight="false" outlineLevel="0" collapsed="false">
      <c r="A6" s="17" t="s">
        <v>2322</v>
      </c>
      <c r="B6" s="42" t="n">
        <v>0.02</v>
      </c>
      <c r="C6" s="28" t="s">
        <v>2323</v>
      </c>
    </row>
    <row r="7" customFormat="false" ht="15" hidden="false" customHeight="false" outlineLevel="0" collapsed="false">
      <c r="A7" s="17" t="s">
        <v>2324</v>
      </c>
      <c r="B7" s="41" t="n">
        <v>0.6</v>
      </c>
      <c r="C7" s="28" t="s">
        <v>2325</v>
      </c>
    </row>
    <row r="8" customFormat="false" ht="15" hidden="false" customHeight="false" outlineLevel="0" collapsed="false">
      <c r="A8" s="17" t="s">
        <v>2326</v>
      </c>
      <c r="B8" s="21" t="n">
        <v>0.1</v>
      </c>
      <c r="C8" s="28" t="s">
        <v>2327</v>
      </c>
    </row>
    <row r="9" customFormat="false" ht="15" hidden="false" customHeight="false" outlineLevel="0" collapsed="false">
      <c r="A9" s="17" t="s">
        <v>2328</v>
      </c>
      <c r="B9" s="41" t="n">
        <v>0.5</v>
      </c>
      <c r="C9" s="28" t="s">
        <v>2329</v>
      </c>
    </row>
    <row r="10" customFormat="false" ht="15" hidden="false" customHeight="false" outlineLevel="0" collapsed="false">
      <c r="A10" s="17" t="s">
        <v>2330</v>
      </c>
      <c r="B10" s="40" t="n">
        <v>2</v>
      </c>
      <c r="C10" s="28" t="s">
        <v>2331</v>
      </c>
    </row>
    <row r="11" customFormat="false" ht="15" hidden="false" customHeight="false" outlineLevel="0" collapsed="false">
      <c r="A11" s="5" t="s">
        <v>2332</v>
      </c>
      <c r="B11" s="6"/>
      <c r="C11" s="6"/>
    </row>
    <row r="12" customFormat="false" ht="15" hidden="false" customHeight="false" outlineLevel="0" collapsed="false">
      <c r="A12" s="17" t="s">
        <v>2333</v>
      </c>
      <c r="B12" s="43" t="n">
        <f aca="false">B4*B6/B10</f>
        <v>3</v>
      </c>
    </row>
    <row r="13" customFormat="false" ht="15" hidden="false" customHeight="false" outlineLevel="0" collapsed="false">
      <c r="A13" s="17" t="s">
        <v>2334</v>
      </c>
      <c r="B13" s="44" t="n">
        <f aca="false">ROUND(B4*B8,0)</f>
        <v>30</v>
      </c>
    </row>
    <row r="14" customFormat="false" ht="15" hidden="false" customHeight="false" outlineLevel="0" collapsed="false">
      <c r="A14" s="17" t="s">
        <v>2335</v>
      </c>
      <c r="B14" s="43" t="n">
        <f aca="false">B13*B7</f>
        <v>18</v>
      </c>
    </row>
    <row r="15" customFormat="false" ht="15" hidden="false" customHeight="false" outlineLevel="0" collapsed="false">
      <c r="A15" s="15" t="s">
        <v>2336</v>
      </c>
      <c r="B15" s="45" t="n">
        <f aca="false">B5/B10+B12+B14+B9</f>
        <v>22.25</v>
      </c>
    </row>
    <row r="16" customFormat="false" ht="15" hidden="false" customHeight="false" outlineLevel="0" collapsed="false">
      <c r="A16" s="17" t="s">
        <v>2337</v>
      </c>
      <c r="B16" s="43" t="n">
        <f aca="false">B7</f>
        <v>0.6</v>
      </c>
    </row>
    <row r="18" customFormat="false" ht="15" hidden="false" customHeight="false" outlineLevel="0" collapsed="false">
      <c r="A18" s="5" t="s">
        <v>2338</v>
      </c>
      <c r="B18" s="6"/>
      <c r="C18" s="6"/>
      <c r="D18" s="6"/>
      <c r="E18" s="6"/>
      <c r="F18" s="6"/>
    </row>
    <row r="19" customFormat="false" ht="15" hidden="false" customHeight="false" outlineLevel="0" collapsed="false">
      <c r="A19" s="46" t="s">
        <v>2288</v>
      </c>
      <c r="B19" s="46" t="s">
        <v>2303</v>
      </c>
      <c r="C19" s="46" t="s">
        <v>2339</v>
      </c>
      <c r="D19" s="46" t="s">
        <v>2340</v>
      </c>
      <c r="E19" s="46" t="s">
        <v>2341</v>
      </c>
      <c r="F19" s="46" t="s">
        <v>2342</v>
      </c>
    </row>
    <row r="20" customFormat="false" ht="15" hidden="false" customHeight="false" outlineLevel="0" collapsed="false">
      <c r="A20" s="47" t="str">
        <f aca="false">'18 Commercial'!A4</f>
        <v>Free</v>
      </c>
      <c r="B20" s="48" t="n">
        <f aca="false">'18 Commercial'!B4</f>
        <v>0</v>
      </c>
      <c r="C20" s="49" t="n">
        <f aca="false">'18 Commercial'!C4*(($B$5+$B$4*$B$6)/$B$10+$B$9)</f>
        <v>4.25</v>
      </c>
      <c r="D20" s="49" t="n">
        <f aca="false">'18 Commercial'!D4*$B$7</f>
        <v>3</v>
      </c>
      <c r="E20" s="49" t="n">
        <f aca="false">C20+D20</f>
        <v>7.25</v>
      </c>
      <c r="F20" s="50" t="str">
        <f aca="false">IF(B20=0,"Acquisition cost",(B20-E20)/B20)</f>
        <v>Acquisition cost</v>
      </c>
    </row>
    <row r="21" customFormat="false" ht="15" hidden="false" customHeight="false" outlineLevel="0" collapsed="false">
      <c r="A21" s="47" t="str">
        <f aca="false">'18 Commercial'!A5</f>
        <v>Starter</v>
      </c>
      <c r="B21" s="48" t="n">
        <f aca="false">'18 Commercial'!B5</f>
        <v>79</v>
      </c>
      <c r="C21" s="49" t="n">
        <f aca="false">'18 Commercial'!C5*(($B$5+$B$4*$B$6)/$B$10+$B$9)</f>
        <v>21.25</v>
      </c>
      <c r="D21" s="49" t="n">
        <f aca="false">'18 Commercial'!D5*$B$7</f>
        <v>24</v>
      </c>
      <c r="E21" s="49" t="n">
        <f aca="false">C21+D21</f>
        <v>45.25</v>
      </c>
      <c r="F21" s="50" t="n">
        <f aca="false">IF(B21=0,"Acquisition cost",(B21-E21)/B21)</f>
        <v>0.427215189873418</v>
      </c>
    </row>
    <row r="22" customFormat="false" ht="15" hidden="false" customHeight="false" outlineLevel="0" collapsed="false">
      <c r="A22" s="47" t="str">
        <f aca="false">'18 Commercial'!A6</f>
        <v>Pro</v>
      </c>
      <c r="B22" s="48" t="n">
        <f aca="false">'18 Commercial'!B6</f>
        <v>199</v>
      </c>
      <c r="C22" s="49" t="n">
        <f aca="false">'18 Commercial'!C6*(($B$5+$B$4*$B$6)/$B$10+$B$9)</f>
        <v>51</v>
      </c>
      <c r="D22" s="49" t="n">
        <f aca="false">'18 Commercial'!D6*$B$7</f>
        <v>60</v>
      </c>
      <c r="E22" s="49" t="n">
        <f aca="false">C22+D22</f>
        <v>111</v>
      </c>
      <c r="F22" s="50" t="n">
        <f aca="false">IF(B22=0,"Acquisition cost",(B22-E22)/B22)</f>
        <v>0.442211055276382</v>
      </c>
    </row>
    <row r="23" customFormat="false" ht="15" hidden="false" customHeight="false" outlineLevel="0" collapsed="false">
      <c r="A23" s="47" t="str">
        <f aca="false">'18 Commercial'!A7</f>
        <v>Dealer</v>
      </c>
      <c r="B23" s="48" t="n">
        <f aca="false">'18 Commercial'!B7</f>
        <v>699</v>
      </c>
      <c r="C23" s="49" t="n">
        <f aca="false">'18 Commercial'!C7*(($B$5+$B$4*$B$6)/$B$10+$B$9)</f>
        <v>170</v>
      </c>
      <c r="D23" s="49" t="n">
        <f aca="false">'18 Commercial'!D7*$B$7</f>
        <v>240</v>
      </c>
      <c r="E23" s="49" t="n">
        <f aca="false">C23+D23</f>
        <v>410</v>
      </c>
      <c r="F23" s="50" t="n">
        <f aca="false">IF(B23=0,"Acquisition cost",(B23-E23)/B23)</f>
        <v>0.413447782546495</v>
      </c>
    </row>
    <row r="25" customFormat="false" ht="15" hidden="false" customHeight="false" outlineLevel="0" collapsed="false">
      <c r="A25" s="28" t="s">
        <v>2343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 collapsed="false" customWidth="true" hidden="false" outlineLevel="0" max="3" min="3" style="0" width="45"/>
  </cols>
  <sheetData>
    <row r="1" customFormat="false" ht="19.7" hidden="false" customHeight="false" outlineLevel="0" collapsed="false">
      <c r="A1" s="1" t="s">
        <v>2344</v>
      </c>
    </row>
    <row r="2" customFormat="false" ht="15" hidden="false" customHeight="false" outlineLevel="0" collapsed="false">
      <c r="A2" s="2" t="s">
        <v>2345</v>
      </c>
    </row>
    <row r="3" customFormat="false" ht="15" hidden="false" customHeight="false" outlineLevel="0" collapsed="false">
      <c r="A3" s="7" t="s">
        <v>125</v>
      </c>
      <c r="B3" s="7" t="s">
        <v>2346</v>
      </c>
      <c r="C3" s="7" t="s">
        <v>2347</v>
      </c>
    </row>
    <row r="4" customFormat="false" ht="23.85" hidden="false" customHeight="false" outlineLevel="0" collapsed="false">
      <c r="A4" s="8" t="s">
        <v>313</v>
      </c>
      <c r="B4" s="8" t="s">
        <v>2348</v>
      </c>
      <c r="C4" s="8" t="s">
        <v>2349</v>
      </c>
    </row>
    <row r="5" customFormat="false" ht="23.85" hidden="false" customHeight="false" outlineLevel="0" collapsed="false">
      <c r="A5" s="9" t="s">
        <v>2350</v>
      </c>
      <c r="B5" s="9" t="s">
        <v>2351</v>
      </c>
      <c r="C5" s="9" t="s">
        <v>2352</v>
      </c>
    </row>
    <row r="6" customFormat="false" ht="15" hidden="false" customHeight="false" outlineLevel="0" collapsed="false">
      <c r="A6" s="8" t="s">
        <v>2353</v>
      </c>
      <c r="B6" s="8" t="s">
        <v>2354</v>
      </c>
      <c r="C6" s="8" t="s">
        <v>2355</v>
      </c>
    </row>
    <row r="7" customFormat="false" ht="15" hidden="false" customHeight="false" outlineLevel="0" collapsed="false">
      <c r="A7" s="9" t="s">
        <v>2356</v>
      </c>
      <c r="B7" s="9" t="s">
        <v>2357</v>
      </c>
      <c r="C7" s="9" t="s">
        <v>2358</v>
      </c>
    </row>
    <row r="8" customFormat="false" ht="15" hidden="false" customHeight="false" outlineLevel="0" collapsed="false">
      <c r="A8" s="8" t="s">
        <v>2359</v>
      </c>
      <c r="B8" s="8" t="s">
        <v>2360</v>
      </c>
      <c r="C8" s="8" t="s">
        <v>2361</v>
      </c>
    </row>
    <row r="9" customFormat="false" ht="15" hidden="false" customHeight="false" outlineLevel="0" collapsed="false">
      <c r="A9" s="9" t="s">
        <v>1982</v>
      </c>
      <c r="B9" s="9" t="s">
        <v>2362</v>
      </c>
      <c r="C9" s="9" t="s">
        <v>2363</v>
      </c>
    </row>
    <row r="10" customFormat="false" ht="15" hidden="false" customHeight="false" outlineLevel="0" collapsed="false">
      <c r="A10" s="8" t="s">
        <v>2364</v>
      </c>
      <c r="B10" s="8" t="s">
        <v>2365</v>
      </c>
      <c r="C10" s="8" t="s">
        <v>2148</v>
      </c>
    </row>
    <row r="11" customFormat="false" ht="23.85" hidden="false" customHeight="false" outlineLevel="0" collapsed="false">
      <c r="A11" s="9" t="s">
        <v>321</v>
      </c>
      <c r="B11" s="9" t="s">
        <v>2366</v>
      </c>
      <c r="C11" s="9" t="s">
        <v>798</v>
      </c>
    </row>
    <row r="12" customFormat="false" ht="15" hidden="false" customHeight="false" outlineLevel="0" collapsed="false">
      <c r="A12" s="8" t="s">
        <v>2367</v>
      </c>
      <c r="B12" s="8" t="s">
        <v>2368</v>
      </c>
      <c r="C12" s="8" t="s">
        <v>2369</v>
      </c>
    </row>
    <row r="13" customFormat="false" ht="15" hidden="false" customHeight="false" outlineLevel="0" collapsed="false">
      <c r="A13" s="9" t="s">
        <v>2370</v>
      </c>
      <c r="B13" s="9" t="s">
        <v>2371</v>
      </c>
      <c r="C13" s="9" t="s">
        <v>663</v>
      </c>
    </row>
  </sheetData>
  <autoFilter ref="A3:C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4" min="2" style="0" width="40"/>
  </cols>
  <sheetData>
    <row r="1" customFormat="false" ht="19.7" hidden="false" customHeight="false" outlineLevel="0" collapsed="false">
      <c r="A1" s="1" t="s">
        <v>2372</v>
      </c>
    </row>
    <row r="2" customFormat="false" ht="15" hidden="false" customHeight="false" outlineLevel="0" collapsed="false">
      <c r="A2" s="2" t="s">
        <v>2373</v>
      </c>
    </row>
    <row r="3" customFormat="false" ht="15" hidden="false" customHeight="false" outlineLevel="0" collapsed="false">
      <c r="A3" s="7" t="s">
        <v>98</v>
      </c>
      <c r="B3" s="7" t="s">
        <v>2374</v>
      </c>
      <c r="C3" s="7" t="s">
        <v>2375</v>
      </c>
      <c r="D3" s="7" t="s">
        <v>1531</v>
      </c>
    </row>
    <row r="4" customFormat="false" ht="15" hidden="false" customHeight="false" outlineLevel="0" collapsed="false">
      <c r="A4" s="8" t="s">
        <v>2376</v>
      </c>
      <c r="B4" s="8" t="s">
        <v>2377</v>
      </c>
      <c r="C4" s="8" t="s">
        <v>2378</v>
      </c>
      <c r="D4" s="8"/>
    </row>
    <row r="5" customFormat="false" ht="15" hidden="false" customHeight="false" outlineLevel="0" collapsed="false">
      <c r="A5" s="9" t="s">
        <v>2379</v>
      </c>
      <c r="B5" s="9" t="s">
        <v>2380</v>
      </c>
      <c r="C5" s="9" t="s">
        <v>2381</v>
      </c>
      <c r="D5" s="9"/>
    </row>
    <row r="6" customFormat="false" ht="15" hidden="false" customHeight="false" outlineLevel="0" collapsed="false">
      <c r="A6" s="8" t="s">
        <v>2382</v>
      </c>
      <c r="B6" s="8" t="s">
        <v>2383</v>
      </c>
      <c r="C6" s="8" t="s">
        <v>2384</v>
      </c>
      <c r="D6" s="8"/>
    </row>
    <row r="7" customFormat="false" ht="15" hidden="false" customHeight="false" outlineLevel="0" collapsed="false">
      <c r="A7" s="9" t="s">
        <v>2385</v>
      </c>
      <c r="B7" s="9" t="s">
        <v>2386</v>
      </c>
      <c r="C7" s="9" t="s">
        <v>2387</v>
      </c>
      <c r="D7" s="9" t="s">
        <v>2388</v>
      </c>
    </row>
    <row r="8" customFormat="false" ht="35.05" hidden="false" customHeight="false" outlineLevel="0" collapsed="false">
      <c r="A8" s="8" t="s">
        <v>2389</v>
      </c>
      <c r="B8" s="8" t="s">
        <v>2390</v>
      </c>
      <c r="C8" s="8" t="s">
        <v>2391</v>
      </c>
      <c r="D8" s="8" t="s">
        <v>2392</v>
      </c>
    </row>
    <row r="9" customFormat="false" ht="15" hidden="false" customHeight="false" outlineLevel="0" collapsed="false">
      <c r="A9" s="9" t="s">
        <v>2393</v>
      </c>
      <c r="B9" s="9" t="s">
        <v>2394</v>
      </c>
      <c r="C9" s="9" t="s">
        <v>2395</v>
      </c>
      <c r="D9" s="9"/>
    </row>
    <row r="10" customFormat="false" ht="15" hidden="false" customHeight="false" outlineLevel="0" collapsed="false">
      <c r="A10" s="8" t="s">
        <v>2396</v>
      </c>
      <c r="B10" s="8" t="s">
        <v>2397</v>
      </c>
      <c r="C10" s="8" t="s">
        <v>2398</v>
      </c>
      <c r="D10" s="8"/>
    </row>
    <row r="11" customFormat="false" ht="15" hidden="false" customHeight="false" outlineLevel="0" collapsed="false">
      <c r="A11" s="9" t="s">
        <v>2399</v>
      </c>
      <c r="B11" s="9" t="s">
        <v>2400</v>
      </c>
      <c r="C11" s="9" t="s">
        <v>2401</v>
      </c>
      <c r="D11" s="9"/>
    </row>
  </sheetData>
  <autoFilter ref="A3:D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50"/>
    <col collapsed="false" customWidth="true" hidden="false" outlineLevel="0" max="4" min="4" style="0" width="11"/>
    <col collapsed="false" customWidth="true" hidden="false" outlineLevel="0" max="6" min="5" style="0" width="9"/>
    <col collapsed="false" customWidth="true" hidden="false" outlineLevel="0" max="7" min="7" style="0" width="70"/>
  </cols>
  <sheetData>
    <row r="1" customFormat="false" ht="19.7" hidden="false" customHeight="false" outlineLevel="0" collapsed="false">
      <c r="A1" s="1" t="s">
        <v>2402</v>
      </c>
    </row>
    <row r="2" customFormat="false" ht="15" hidden="false" customHeight="false" outlineLevel="0" collapsed="false">
      <c r="A2" s="2" t="s">
        <v>2403</v>
      </c>
    </row>
    <row r="3" customFormat="false" ht="15" hidden="false" customHeight="false" outlineLevel="0" collapsed="false">
      <c r="A3" s="7" t="s">
        <v>124</v>
      </c>
      <c r="B3" s="7" t="s">
        <v>2404</v>
      </c>
      <c r="C3" s="7" t="s">
        <v>2405</v>
      </c>
      <c r="D3" s="7" t="s">
        <v>2406</v>
      </c>
      <c r="E3" s="7" t="s">
        <v>2407</v>
      </c>
      <c r="F3" s="7" t="s">
        <v>2408</v>
      </c>
      <c r="G3" s="7" t="s">
        <v>2409</v>
      </c>
    </row>
    <row r="4" customFormat="false" ht="15" hidden="false" customHeight="false" outlineLevel="0" collapsed="false">
      <c r="A4" s="8" t="s">
        <v>2410</v>
      </c>
      <c r="B4" s="8" t="s">
        <v>2411</v>
      </c>
      <c r="C4" s="8" t="s">
        <v>2412</v>
      </c>
      <c r="D4" s="33" t="n">
        <v>4</v>
      </c>
      <c r="E4" s="33" t="n">
        <v>3</v>
      </c>
      <c r="F4" s="51" t="n">
        <f aca="false">D4*E4</f>
        <v>12</v>
      </c>
      <c r="G4" s="8" t="s">
        <v>2413</v>
      </c>
    </row>
    <row r="5" customFormat="false" ht="15" hidden="false" customHeight="false" outlineLevel="0" collapsed="false">
      <c r="A5" s="9" t="s">
        <v>2414</v>
      </c>
      <c r="B5" s="9" t="s">
        <v>2411</v>
      </c>
      <c r="C5" s="9" t="s">
        <v>2415</v>
      </c>
      <c r="D5" s="35" t="n">
        <v>3</v>
      </c>
      <c r="E5" s="35" t="n">
        <v>4</v>
      </c>
      <c r="F5" s="52" t="n">
        <f aca="false">D5*E5</f>
        <v>12</v>
      </c>
      <c r="G5" s="9" t="s">
        <v>2416</v>
      </c>
    </row>
    <row r="6" customFormat="false" ht="23.85" hidden="false" customHeight="false" outlineLevel="0" collapsed="false">
      <c r="A6" s="8" t="s">
        <v>2417</v>
      </c>
      <c r="B6" s="8" t="s">
        <v>160</v>
      </c>
      <c r="C6" s="8" t="s">
        <v>2418</v>
      </c>
      <c r="D6" s="33" t="n">
        <v>4</v>
      </c>
      <c r="E6" s="33" t="n">
        <v>4</v>
      </c>
      <c r="F6" s="51" t="n">
        <f aca="false">D6*E6</f>
        <v>16</v>
      </c>
      <c r="G6" s="8" t="s">
        <v>2419</v>
      </c>
    </row>
    <row r="7" customFormat="false" ht="15" hidden="false" customHeight="false" outlineLevel="0" collapsed="false">
      <c r="A7" s="9" t="s">
        <v>2420</v>
      </c>
      <c r="B7" s="9" t="s">
        <v>2421</v>
      </c>
      <c r="C7" s="9" t="s">
        <v>2422</v>
      </c>
      <c r="D7" s="35" t="n">
        <v>3</v>
      </c>
      <c r="E7" s="35" t="n">
        <v>5</v>
      </c>
      <c r="F7" s="52" t="n">
        <f aca="false">D7*E7</f>
        <v>15</v>
      </c>
      <c r="G7" s="9" t="s">
        <v>2423</v>
      </c>
    </row>
    <row r="8" customFormat="false" ht="15" hidden="false" customHeight="false" outlineLevel="0" collapsed="false">
      <c r="A8" s="8" t="s">
        <v>2424</v>
      </c>
      <c r="B8" s="8" t="s">
        <v>2421</v>
      </c>
      <c r="C8" s="8" t="s">
        <v>2425</v>
      </c>
      <c r="D8" s="33" t="n">
        <v>4</v>
      </c>
      <c r="E8" s="33" t="n">
        <v>4</v>
      </c>
      <c r="F8" s="51" t="n">
        <f aca="false">D8*E8</f>
        <v>16</v>
      </c>
      <c r="G8" s="8" t="s">
        <v>2426</v>
      </c>
    </row>
    <row r="9" customFormat="false" ht="15" hidden="false" customHeight="false" outlineLevel="0" collapsed="false">
      <c r="A9" s="9" t="s">
        <v>2427</v>
      </c>
      <c r="B9" s="9" t="s">
        <v>300</v>
      </c>
      <c r="C9" s="9" t="s">
        <v>2428</v>
      </c>
      <c r="D9" s="35" t="n">
        <v>3</v>
      </c>
      <c r="E9" s="35" t="n">
        <v>4</v>
      </c>
      <c r="F9" s="52" t="n">
        <f aca="false">D9*E9</f>
        <v>12</v>
      </c>
      <c r="G9" s="9" t="s">
        <v>2429</v>
      </c>
    </row>
    <row r="10" customFormat="false" ht="15" hidden="false" customHeight="false" outlineLevel="0" collapsed="false">
      <c r="A10" s="8" t="s">
        <v>2430</v>
      </c>
      <c r="B10" s="8" t="s">
        <v>300</v>
      </c>
      <c r="C10" s="8" t="s">
        <v>2431</v>
      </c>
      <c r="D10" s="33" t="n">
        <v>2</v>
      </c>
      <c r="E10" s="33" t="n">
        <v>4</v>
      </c>
      <c r="F10" s="51" t="n">
        <f aca="false">D10*E10</f>
        <v>8</v>
      </c>
      <c r="G10" s="8" t="s">
        <v>2432</v>
      </c>
    </row>
    <row r="11" customFormat="false" ht="15" hidden="false" customHeight="false" outlineLevel="0" collapsed="false">
      <c r="A11" s="9" t="s">
        <v>2433</v>
      </c>
      <c r="B11" s="9" t="s">
        <v>312</v>
      </c>
      <c r="C11" s="9" t="s">
        <v>2434</v>
      </c>
      <c r="D11" s="35" t="n">
        <v>2</v>
      </c>
      <c r="E11" s="35" t="n">
        <v>5</v>
      </c>
      <c r="F11" s="52" t="n">
        <f aca="false">D11*E11</f>
        <v>10</v>
      </c>
      <c r="G11" s="9" t="s">
        <v>2435</v>
      </c>
    </row>
    <row r="12" customFormat="false" ht="15" hidden="false" customHeight="false" outlineLevel="0" collapsed="false">
      <c r="A12" s="8" t="s">
        <v>2436</v>
      </c>
      <c r="B12" s="8" t="s">
        <v>325</v>
      </c>
      <c r="C12" s="8" t="s">
        <v>2437</v>
      </c>
      <c r="D12" s="33" t="n">
        <v>4</v>
      </c>
      <c r="E12" s="33" t="n">
        <v>3</v>
      </c>
      <c r="F12" s="51" t="n">
        <f aca="false">D12*E12</f>
        <v>12</v>
      </c>
      <c r="G12" s="8" t="s">
        <v>2438</v>
      </c>
    </row>
    <row r="13" customFormat="false" ht="15" hidden="false" customHeight="false" outlineLevel="0" collapsed="false">
      <c r="A13" s="9" t="s">
        <v>2439</v>
      </c>
      <c r="B13" s="9" t="s">
        <v>325</v>
      </c>
      <c r="C13" s="9" t="s">
        <v>2440</v>
      </c>
      <c r="D13" s="35" t="n">
        <v>3</v>
      </c>
      <c r="E13" s="35" t="n">
        <v>3</v>
      </c>
      <c r="F13" s="52" t="n">
        <f aca="false">D13*E13</f>
        <v>9</v>
      </c>
      <c r="G13" s="9" t="s">
        <v>2441</v>
      </c>
    </row>
    <row r="14" customFormat="false" ht="15" hidden="false" customHeight="false" outlineLevel="0" collapsed="false">
      <c r="A14" s="8" t="s">
        <v>2442</v>
      </c>
      <c r="B14" s="8" t="s">
        <v>2443</v>
      </c>
      <c r="C14" s="8" t="s">
        <v>2444</v>
      </c>
      <c r="D14" s="33" t="n">
        <v>1</v>
      </c>
      <c r="E14" s="33" t="n">
        <v>5</v>
      </c>
      <c r="F14" s="51" t="n">
        <f aca="false">D14*E14</f>
        <v>5</v>
      </c>
      <c r="G14" s="8" t="s">
        <v>2445</v>
      </c>
    </row>
    <row r="15" customFormat="false" ht="23.85" hidden="false" customHeight="false" outlineLevel="0" collapsed="false">
      <c r="A15" s="9" t="s">
        <v>2446</v>
      </c>
      <c r="B15" s="9" t="s">
        <v>546</v>
      </c>
      <c r="C15" s="9" t="s">
        <v>2447</v>
      </c>
      <c r="D15" s="35" t="n">
        <v>3</v>
      </c>
      <c r="E15" s="35" t="n">
        <v>4</v>
      </c>
      <c r="F15" s="52" t="n">
        <f aca="false">D15*E15</f>
        <v>12</v>
      </c>
      <c r="G15" s="9" t="s">
        <v>2448</v>
      </c>
    </row>
    <row r="16" customFormat="false" ht="23.85" hidden="false" customHeight="false" outlineLevel="0" collapsed="false">
      <c r="A16" s="8" t="s">
        <v>2449</v>
      </c>
      <c r="B16" s="8" t="s">
        <v>546</v>
      </c>
      <c r="C16" s="8" t="s">
        <v>2450</v>
      </c>
      <c r="D16" s="33" t="n">
        <v>2</v>
      </c>
      <c r="E16" s="33" t="n">
        <v>3</v>
      </c>
      <c r="F16" s="51" t="n">
        <f aca="false">D16*E16</f>
        <v>6</v>
      </c>
      <c r="G16" s="8" t="s">
        <v>2451</v>
      </c>
    </row>
    <row r="17" customFormat="false" ht="15" hidden="false" customHeight="false" outlineLevel="0" collapsed="false">
      <c r="A17" s="9" t="s">
        <v>2452</v>
      </c>
      <c r="B17" s="9" t="s">
        <v>300</v>
      </c>
      <c r="C17" s="9" t="s">
        <v>2453</v>
      </c>
      <c r="D17" s="35" t="n">
        <v>3</v>
      </c>
      <c r="E17" s="35" t="n">
        <v>3</v>
      </c>
      <c r="F17" s="52" t="n">
        <f aca="false">D17*E17</f>
        <v>9</v>
      </c>
      <c r="G17" s="9" t="s">
        <v>2454</v>
      </c>
    </row>
    <row r="18" customFormat="false" ht="15" hidden="false" customHeight="false" outlineLevel="0" collapsed="false">
      <c r="A18" s="8" t="s">
        <v>2455</v>
      </c>
      <c r="B18" s="8" t="s">
        <v>499</v>
      </c>
      <c r="C18" s="8" t="s">
        <v>2456</v>
      </c>
      <c r="D18" s="33" t="n">
        <v>3</v>
      </c>
      <c r="E18" s="33" t="n">
        <v>4</v>
      </c>
      <c r="F18" s="51" t="n">
        <f aca="false">D18*E18</f>
        <v>12</v>
      </c>
      <c r="G18" s="8" t="s">
        <v>2457</v>
      </c>
    </row>
    <row r="19" customFormat="false" ht="35.05" hidden="false" customHeight="false" outlineLevel="0" collapsed="false">
      <c r="A19" s="9" t="s">
        <v>2458</v>
      </c>
      <c r="B19" s="9" t="s">
        <v>499</v>
      </c>
      <c r="C19" s="9" t="s">
        <v>2459</v>
      </c>
      <c r="D19" s="35" t="n">
        <v>4</v>
      </c>
      <c r="E19" s="35" t="n">
        <v>2</v>
      </c>
      <c r="F19" s="52" t="n">
        <f aca="false">D19*E19</f>
        <v>8</v>
      </c>
      <c r="G19" s="9" t="s">
        <v>2460</v>
      </c>
    </row>
    <row r="20" customFormat="false" ht="23.85" hidden="false" customHeight="false" outlineLevel="0" collapsed="false">
      <c r="A20" s="8" t="s">
        <v>2461</v>
      </c>
      <c r="B20" s="8" t="s">
        <v>499</v>
      </c>
      <c r="C20" s="8" t="s">
        <v>2462</v>
      </c>
      <c r="D20" s="33" t="n">
        <v>3</v>
      </c>
      <c r="E20" s="33" t="n">
        <v>3</v>
      </c>
      <c r="F20" s="51" t="n">
        <f aca="false">D20*E20</f>
        <v>9</v>
      </c>
      <c r="G20" s="8" t="s">
        <v>2463</v>
      </c>
    </row>
    <row r="21" customFormat="false" ht="23.85" hidden="false" customHeight="false" outlineLevel="0" collapsed="false">
      <c r="A21" s="9" t="s">
        <v>2464</v>
      </c>
      <c r="B21" s="9" t="s">
        <v>325</v>
      </c>
      <c r="C21" s="9" t="s">
        <v>2465</v>
      </c>
      <c r="D21" s="35" t="n">
        <v>4</v>
      </c>
      <c r="E21" s="35" t="n">
        <v>3</v>
      </c>
      <c r="F21" s="52" t="n">
        <f aca="false">D21*E21</f>
        <v>12</v>
      </c>
      <c r="G21" s="9" t="s">
        <v>2466</v>
      </c>
    </row>
    <row r="22" customFormat="false" ht="15" hidden="false" customHeight="false" outlineLevel="0" collapsed="false">
      <c r="A22" s="8" t="s">
        <v>2467</v>
      </c>
      <c r="B22" s="8" t="s">
        <v>534</v>
      </c>
      <c r="C22" s="8" t="s">
        <v>2468</v>
      </c>
      <c r="D22" s="33" t="n">
        <v>3</v>
      </c>
      <c r="E22" s="33" t="n">
        <v>3</v>
      </c>
      <c r="F22" s="51" t="n">
        <f aca="false">D22*E22</f>
        <v>9</v>
      </c>
      <c r="G22" s="8" t="s">
        <v>2469</v>
      </c>
    </row>
    <row r="23" customFormat="false" ht="23.85" hidden="false" customHeight="false" outlineLevel="0" collapsed="false">
      <c r="A23" s="9" t="s">
        <v>2470</v>
      </c>
      <c r="B23" s="9" t="s">
        <v>288</v>
      </c>
      <c r="C23" s="9" t="s">
        <v>2471</v>
      </c>
      <c r="D23" s="35" t="n">
        <v>2</v>
      </c>
      <c r="E23" s="35" t="n">
        <v>3</v>
      </c>
      <c r="F23" s="52" t="n">
        <f aca="false">D23*E23</f>
        <v>6</v>
      </c>
      <c r="G23" s="9" t="s">
        <v>2472</v>
      </c>
    </row>
  </sheetData>
  <autoFilter ref="A3:G23"/>
  <conditionalFormatting sqref="F4:F23">
    <cfRule type="cellIs" priority="2" operator="greaterThanOrEqual" aboveAverage="0" equalAverage="0" bottom="0" percent="0" rank="0" text="" dxfId="7">
      <formula>15</formula>
    </cfRule>
    <cfRule type="cellIs" priority="3" operator="between" aboveAverage="0" equalAverage="0" bottom="0" percent="0" rank="0" text="" dxfId="6">
      <formula>8</formula>
      <formula>14</formula>
    </cfRule>
    <cfRule type="cellIs" priority="4" operator="lessThan" aboveAverage="0" equalAverage="0" bottom="0" percent="0" rank="0" text="" dxfId="5">
      <formula>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6"/>
    <col collapsed="false" customWidth="true" hidden="false" outlineLevel="0" max="4" min="4" style="0" width="90"/>
    <col collapsed="false" customWidth="true" hidden="false" outlineLevel="0" max="5" min="5" style="0" width="34"/>
  </cols>
  <sheetData>
    <row r="1" customFormat="false" ht="19.7" hidden="false" customHeight="false" outlineLevel="0" collapsed="false">
      <c r="A1" s="1" t="s">
        <v>2473</v>
      </c>
    </row>
    <row r="2" customFormat="false" ht="15" hidden="false" customHeight="false" outlineLevel="0" collapsed="false">
      <c r="A2" s="2" t="s">
        <v>2474</v>
      </c>
    </row>
    <row r="3" customFormat="false" ht="15" hidden="false" customHeight="false" outlineLevel="0" collapsed="false">
      <c r="A3" s="7" t="s">
        <v>754</v>
      </c>
      <c r="B3" s="7" t="s">
        <v>2475</v>
      </c>
      <c r="C3" s="7" t="s">
        <v>2476</v>
      </c>
      <c r="D3" s="7" t="s">
        <v>2477</v>
      </c>
      <c r="E3" s="7" t="s">
        <v>2478</v>
      </c>
    </row>
    <row r="4" customFormat="false" ht="15" hidden="false" customHeight="false" outlineLevel="0" collapsed="false">
      <c r="A4" s="8" t="s">
        <v>2479</v>
      </c>
      <c r="B4" s="8" t="s">
        <v>2480</v>
      </c>
      <c r="C4" s="8" t="s">
        <v>527</v>
      </c>
      <c r="D4" s="8" t="s">
        <v>2481</v>
      </c>
      <c r="E4" s="8" t="s">
        <v>2482</v>
      </c>
    </row>
    <row r="5" customFormat="false" ht="35.05" hidden="false" customHeight="false" outlineLevel="0" collapsed="false">
      <c r="A5" s="9" t="s">
        <v>2483</v>
      </c>
      <c r="B5" s="9" t="s">
        <v>2484</v>
      </c>
      <c r="C5" s="9" t="s">
        <v>2485</v>
      </c>
      <c r="D5" s="9" t="s">
        <v>2486</v>
      </c>
      <c r="E5" s="9" t="s">
        <v>2487</v>
      </c>
    </row>
    <row r="6" customFormat="false" ht="15" hidden="false" customHeight="false" outlineLevel="0" collapsed="false">
      <c r="A6" s="8" t="s">
        <v>2483</v>
      </c>
      <c r="B6" s="8" t="s">
        <v>2488</v>
      </c>
      <c r="C6" s="8" t="s">
        <v>2489</v>
      </c>
      <c r="D6" s="8" t="s">
        <v>2490</v>
      </c>
      <c r="E6" s="8" t="s">
        <v>2491</v>
      </c>
    </row>
    <row r="7" customFormat="false" ht="15" hidden="false" customHeight="false" outlineLevel="0" collapsed="false">
      <c r="A7" s="9" t="s">
        <v>2483</v>
      </c>
      <c r="B7" s="9" t="s">
        <v>2492</v>
      </c>
      <c r="C7" s="9" t="s">
        <v>1078</v>
      </c>
      <c r="D7" s="9" t="s">
        <v>2493</v>
      </c>
      <c r="E7" s="9" t="s">
        <v>2494</v>
      </c>
    </row>
    <row r="8" customFormat="false" ht="15" hidden="false" customHeight="false" outlineLevel="0" collapsed="false">
      <c r="A8" s="8" t="s">
        <v>2483</v>
      </c>
      <c r="B8" s="8" t="s">
        <v>2495</v>
      </c>
      <c r="C8" s="8" t="s">
        <v>2496</v>
      </c>
      <c r="D8" s="8" t="s">
        <v>2497</v>
      </c>
      <c r="E8" s="8" t="s">
        <v>2498</v>
      </c>
    </row>
    <row r="9" customFormat="false" ht="15" hidden="false" customHeight="false" outlineLevel="0" collapsed="false">
      <c r="A9" s="9" t="s">
        <v>2483</v>
      </c>
      <c r="B9" s="9" t="s">
        <v>2499</v>
      </c>
      <c r="C9" s="9" t="s">
        <v>723</v>
      </c>
      <c r="D9" s="9" t="s">
        <v>2500</v>
      </c>
      <c r="E9" s="9" t="s">
        <v>2501</v>
      </c>
    </row>
    <row r="10" customFormat="false" ht="23.85" hidden="false" customHeight="false" outlineLevel="0" collapsed="false">
      <c r="A10" s="8" t="s">
        <v>2483</v>
      </c>
      <c r="B10" s="8" t="s">
        <v>2502</v>
      </c>
      <c r="C10" s="8" t="s">
        <v>2503</v>
      </c>
      <c r="D10" s="8" t="s">
        <v>2504</v>
      </c>
      <c r="E10" s="8" t="s">
        <v>2505</v>
      </c>
    </row>
    <row r="11" customFormat="false" ht="15" hidden="false" customHeight="false" outlineLevel="0" collapsed="false">
      <c r="A11" s="9" t="s">
        <v>2483</v>
      </c>
      <c r="B11" s="9" t="s">
        <v>2506</v>
      </c>
      <c r="C11" s="9" t="s">
        <v>250</v>
      </c>
      <c r="D11" s="9" t="s">
        <v>2507</v>
      </c>
      <c r="E11" s="9" t="s">
        <v>2508</v>
      </c>
    </row>
    <row r="12" customFormat="false" ht="15" hidden="false" customHeight="false" outlineLevel="0" collapsed="false">
      <c r="A12" s="8" t="s">
        <v>2483</v>
      </c>
      <c r="B12" s="8" t="s">
        <v>2509</v>
      </c>
      <c r="C12" s="8" t="s">
        <v>2510</v>
      </c>
      <c r="D12" s="8" t="s">
        <v>2511</v>
      </c>
      <c r="E12" s="8" t="s">
        <v>2512</v>
      </c>
    </row>
    <row r="13" customFormat="false" ht="23.85" hidden="false" customHeight="false" outlineLevel="0" collapsed="false">
      <c r="A13" s="9" t="s">
        <v>1543</v>
      </c>
      <c r="B13" s="9" t="s">
        <v>2513</v>
      </c>
      <c r="C13" s="9" t="s">
        <v>1067</v>
      </c>
      <c r="D13" s="9" t="s">
        <v>2514</v>
      </c>
      <c r="E13" s="9" t="s">
        <v>2515</v>
      </c>
    </row>
    <row r="14" customFormat="false" ht="23.85" hidden="false" customHeight="false" outlineLevel="0" collapsed="false">
      <c r="A14" s="8" t="s">
        <v>1543</v>
      </c>
      <c r="B14" s="8" t="s">
        <v>2516</v>
      </c>
      <c r="C14" s="8" t="s">
        <v>2517</v>
      </c>
      <c r="D14" s="8" t="s">
        <v>2518</v>
      </c>
      <c r="E14" s="8" t="s">
        <v>2519</v>
      </c>
    </row>
    <row r="15" customFormat="false" ht="15" hidden="false" customHeight="false" outlineLevel="0" collapsed="false">
      <c r="A15" s="9" t="s">
        <v>1543</v>
      </c>
      <c r="B15" s="9" t="s">
        <v>2520</v>
      </c>
      <c r="C15" s="9" t="s">
        <v>2521</v>
      </c>
      <c r="D15" s="9" t="s">
        <v>2522</v>
      </c>
      <c r="E15" s="9" t="s">
        <v>2523</v>
      </c>
    </row>
    <row r="16" customFormat="false" ht="15" hidden="false" customHeight="false" outlineLevel="0" collapsed="false">
      <c r="A16" s="8" t="s">
        <v>2524</v>
      </c>
      <c r="B16" s="8" t="s">
        <v>2525</v>
      </c>
      <c r="C16" s="8" t="s">
        <v>944</v>
      </c>
      <c r="D16" s="8" t="s">
        <v>2526</v>
      </c>
      <c r="E16" s="8" t="s">
        <v>2527</v>
      </c>
    </row>
  </sheetData>
  <autoFilter ref="A3:E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3" min="3" style="0" width="12"/>
  </cols>
  <sheetData>
    <row r="1" customFormat="false" ht="19.7" hidden="false" customHeight="false" outlineLevel="0" collapsed="false">
      <c r="A1" s="1" t="s">
        <v>2528</v>
      </c>
    </row>
    <row r="2" customFormat="false" ht="15" hidden="false" customHeight="false" outlineLevel="0" collapsed="false">
      <c r="A2" s="2" t="s">
        <v>2529</v>
      </c>
    </row>
    <row r="3" customFormat="false" ht="15" hidden="false" customHeight="false" outlineLevel="0" collapsed="false">
      <c r="A3" s="7" t="s">
        <v>2530</v>
      </c>
      <c r="B3" s="7" t="s">
        <v>1145</v>
      </c>
      <c r="C3" s="7" t="s">
        <v>2531</v>
      </c>
    </row>
    <row r="4" customFormat="false" ht="15" hidden="false" customHeight="false" outlineLevel="0" collapsed="false">
      <c r="A4" s="8" t="s">
        <v>2532</v>
      </c>
      <c r="B4" s="8" t="s">
        <v>2533</v>
      </c>
      <c r="C4" s="53" t="n">
        <v>0.98</v>
      </c>
    </row>
    <row r="5" customFormat="false" ht="15" hidden="false" customHeight="false" outlineLevel="0" collapsed="false">
      <c r="A5" s="9" t="s">
        <v>2534</v>
      </c>
      <c r="B5" s="9" t="s">
        <v>2535</v>
      </c>
      <c r="C5" s="54" t="n">
        <v>0.8</v>
      </c>
    </row>
    <row r="6" customFormat="false" ht="15" hidden="false" customHeight="false" outlineLevel="0" collapsed="false">
      <c r="A6" s="8" t="s">
        <v>2536</v>
      </c>
      <c r="B6" s="8" t="s">
        <v>2537</v>
      </c>
      <c r="C6" s="53" t="n">
        <v>0.7</v>
      </c>
    </row>
    <row r="7" customFormat="false" ht="15" hidden="false" customHeight="false" outlineLevel="0" collapsed="false">
      <c r="A7" s="9" t="s">
        <v>2538</v>
      </c>
      <c r="B7" s="9" t="s">
        <v>2539</v>
      </c>
      <c r="C7" s="54" t="n">
        <v>0.85</v>
      </c>
    </row>
    <row r="8" customFormat="false" ht="15" hidden="false" customHeight="false" outlineLevel="0" collapsed="false">
      <c r="A8" s="8" t="s">
        <v>2540</v>
      </c>
      <c r="B8" s="8" t="s">
        <v>2541</v>
      </c>
      <c r="C8" s="33" t="n">
        <v>10</v>
      </c>
    </row>
    <row r="9" customFormat="false" ht="15" hidden="false" customHeight="false" outlineLevel="0" collapsed="false">
      <c r="A9" s="9" t="s">
        <v>2542</v>
      </c>
      <c r="B9" s="9" t="s">
        <v>2543</v>
      </c>
      <c r="C9" s="35" t="n">
        <v>2</v>
      </c>
    </row>
    <row r="10" customFormat="false" ht="15" hidden="false" customHeight="false" outlineLevel="0" collapsed="false">
      <c r="A10" s="8" t="s">
        <v>2332</v>
      </c>
      <c r="B10" s="8" t="s">
        <v>2544</v>
      </c>
      <c r="C10" s="33" t="n">
        <v>25</v>
      </c>
    </row>
    <row r="11" customFormat="false" ht="15" hidden="false" customHeight="false" outlineLevel="0" collapsed="false">
      <c r="A11" s="9" t="s">
        <v>2545</v>
      </c>
      <c r="B11" s="9" t="s">
        <v>2546</v>
      </c>
      <c r="C11" s="54" t="n">
        <v>0.7</v>
      </c>
    </row>
    <row r="12" customFormat="false" ht="15" hidden="false" customHeight="false" outlineLevel="0" collapsed="false">
      <c r="A12" s="8" t="s">
        <v>2547</v>
      </c>
      <c r="B12" s="8" t="s">
        <v>2548</v>
      </c>
      <c r="C12" s="33" t="n">
        <v>500</v>
      </c>
    </row>
    <row r="13" customFormat="false" ht="15" hidden="false" customHeight="false" outlineLevel="0" collapsed="false">
      <c r="A13" s="9" t="s">
        <v>2549</v>
      </c>
      <c r="B13" s="9" t="s">
        <v>2550</v>
      </c>
      <c r="C13" s="54" t="n">
        <v>0.05</v>
      </c>
    </row>
    <row r="14" customFormat="false" ht="15" hidden="false" customHeight="false" outlineLevel="0" collapsed="false">
      <c r="A14" s="8" t="s">
        <v>2551</v>
      </c>
      <c r="B14" s="8" t="s">
        <v>2552</v>
      </c>
      <c r="C14" s="33" t="n">
        <v>5</v>
      </c>
    </row>
    <row r="15" customFormat="false" ht="15" hidden="false" customHeight="false" outlineLevel="0" collapsed="false">
      <c r="A15" s="9" t="s">
        <v>2553</v>
      </c>
      <c r="B15" s="9" t="s">
        <v>2554</v>
      </c>
      <c r="C15" s="54" t="n">
        <v>0.4</v>
      </c>
    </row>
    <row r="16" customFormat="false" ht="15" hidden="false" customHeight="false" outlineLevel="0" collapsed="false">
      <c r="A16" s="8" t="s">
        <v>2555</v>
      </c>
      <c r="B16" s="8" t="s">
        <v>2556</v>
      </c>
      <c r="C16" s="53" t="n">
        <v>0.6</v>
      </c>
    </row>
    <row r="17" customFormat="false" ht="15" hidden="false" customHeight="false" outlineLevel="0" collapsed="false">
      <c r="A17" s="9" t="s">
        <v>2557</v>
      </c>
      <c r="B17" s="9" t="s">
        <v>2558</v>
      </c>
      <c r="C17" s="54" t="n">
        <v>0.4</v>
      </c>
    </row>
    <row r="18" customFormat="false" ht="15" hidden="false" customHeight="false" outlineLevel="0" collapsed="false">
      <c r="A18" s="8" t="s">
        <v>2559</v>
      </c>
      <c r="B18" s="8" t="s">
        <v>2560</v>
      </c>
      <c r="C18" s="53" t="n">
        <v>0.8</v>
      </c>
    </row>
    <row r="19" customFormat="false" ht="15" hidden="false" customHeight="false" outlineLevel="0" collapsed="false">
      <c r="A19" s="9" t="s">
        <v>2561</v>
      </c>
      <c r="B19" s="9" t="s">
        <v>2562</v>
      </c>
      <c r="C19" s="35" t="n">
        <v>20</v>
      </c>
    </row>
    <row r="20" customFormat="false" ht="15" hidden="false" customHeight="false" outlineLevel="0" collapsed="false">
      <c r="A20" s="8" t="s">
        <v>2563</v>
      </c>
      <c r="B20" s="8" t="s">
        <v>2564</v>
      </c>
      <c r="C20" s="53" t="n">
        <v>0.15</v>
      </c>
    </row>
    <row r="21" customFormat="false" ht="15" hidden="false" customHeight="false" outlineLevel="0" collapsed="false">
      <c r="A21" s="9" t="s">
        <v>2565</v>
      </c>
      <c r="B21" s="9" t="s">
        <v>2566</v>
      </c>
      <c r="C21" s="54" t="n">
        <v>0.9</v>
      </c>
    </row>
  </sheetData>
  <autoFilter ref="A3:C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5"/>
    <col collapsed="false" customWidth="true" hidden="false" outlineLevel="0" max="3" min="3" style="0" width="60"/>
    <col collapsed="false" customWidth="true" hidden="false" outlineLevel="0" max="4" min="4" style="0" width="20"/>
    <col collapsed="false" customWidth="true" hidden="false" outlineLevel="0" max="5" min="5" style="0" width="12"/>
  </cols>
  <sheetData>
    <row r="1" customFormat="false" ht="19.7" hidden="false" customHeight="false" outlineLevel="0" collapsed="false">
      <c r="A1" s="1" t="s">
        <v>2567</v>
      </c>
    </row>
    <row r="2" customFormat="false" ht="15" hidden="false" customHeight="false" outlineLevel="0" collapsed="false">
      <c r="A2" s="2" t="s">
        <v>2568</v>
      </c>
    </row>
    <row r="3" customFormat="false" ht="15" hidden="false" customHeight="false" outlineLevel="0" collapsed="false">
      <c r="A3" s="7" t="s">
        <v>124</v>
      </c>
      <c r="B3" s="7" t="s">
        <v>2569</v>
      </c>
      <c r="C3" s="7" t="s">
        <v>2570</v>
      </c>
      <c r="D3" s="7" t="s">
        <v>2571</v>
      </c>
      <c r="E3" s="7" t="s">
        <v>2572</v>
      </c>
    </row>
    <row r="4" customFormat="false" ht="15" hidden="false" customHeight="false" outlineLevel="0" collapsed="false">
      <c r="A4" s="8" t="s">
        <v>2573</v>
      </c>
      <c r="B4" s="8" t="s">
        <v>2574</v>
      </c>
      <c r="C4" s="8" t="s">
        <v>2575</v>
      </c>
      <c r="D4" s="8" t="s">
        <v>2576</v>
      </c>
      <c r="E4" s="8" t="s">
        <v>2479</v>
      </c>
    </row>
    <row r="5" customFormat="false" ht="15" hidden="false" customHeight="false" outlineLevel="0" collapsed="false">
      <c r="A5" s="9" t="s">
        <v>2577</v>
      </c>
      <c r="B5" s="9" t="s">
        <v>2578</v>
      </c>
      <c r="C5" s="9" t="s">
        <v>2579</v>
      </c>
      <c r="D5" s="9" t="s">
        <v>2576</v>
      </c>
      <c r="E5" s="9" t="s">
        <v>2479</v>
      </c>
    </row>
    <row r="6" customFormat="false" ht="15" hidden="false" customHeight="false" outlineLevel="0" collapsed="false">
      <c r="A6" s="8" t="s">
        <v>2580</v>
      </c>
      <c r="B6" s="8" t="s">
        <v>2581</v>
      </c>
      <c r="C6" s="8" t="s">
        <v>2582</v>
      </c>
      <c r="D6" s="8" t="s">
        <v>2576</v>
      </c>
      <c r="E6" s="8" t="s">
        <v>2479</v>
      </c>
    </row>
    <row r="7" customFormat="false" ht="15" hidden="false" customHeight="false" outlineLevel="0" collapsed="false">
      <c r="A7" s="9" t="s">
        <v>2583</v>
      </c>
      <c r="B7" s="9" t="s">
        <v>2584</v>
      </c>
      <c r="C7" s="9" t="s">
        <v>2585</v>
      </c>
      <c r="D7" s="9" t="s">
        <v>2576</v>
      </c>
      <c r="E7" s="9" t="s">
        <v>2479</v>
      </c>
    </row>
    <row r="8" customFormat="false" ht="15" hidden="false" customHeight="false" outlineLevel="0" collapsed="false">
      <c r="A8" s="8" t="s">
        <v>2586</v>
      </c>
      <c r="B8" s="8" t="s">
        <v>2587</v>
      </c>
      <c r="C8" s="8" t="s">
        <v>2588</v>
      </c>
      <c r="D8" s="8" t="s">
        <v>2576</v>
      </c>
      <c r="E8" s="8" t="s">
        <v>2479</v>
      </c>
    </row>
    <row r="9" customFormat="false" ht="15" hidden="false" customHeight="false" outlineLevel="0" collapsed="false">
      <c r="A9" s="9" t="s">
        <v>2589</v>
      </c>
      <c r="B9" s="9" t="s">
        <v>2590</v>
      </c>
      <c r="C9" s="9" t="s">
        <v>2591</v>
      </c>
      <c r="D9" s="9" t="s">
        <v>2592</v>
      </c>
      <c r="E9" s="9" t="s">
        <v>2483</v>
      </c>
    </row>
    <row r="10" customFormat="false" ht="15" hidden="false" customHeight="false" outlineLevel="0" collapsed="false">
      <c r="A10" s="8" t="s">
        <v>2593</v>
      </c>
      <c r="B10" s="8" t="s">
        <v>2594</v>
      </c>
      <c r="C10" s="8" t="s">
        <v>2595</v>
      </c>
      <c r="D10" s="8" t="s">
        <v>2576</v>
      </c>
      <c r="E10" s="8" t="s">
        <v>2483</v>
      </c>
    </row>
    <row r="11" customFormat="false" ht="15" hidden="false" customHeight="false" outlineLevel="0" collapsed="false">
      <c r="A11" s="9" t="s">
        <v>2596</v>
      </c>
      <c r="B11" s="9" t="s">
        <v>558</v>
      </c>
      <c r="C11" s="9" t="s">
        <v>2597</v>
      </c>
      <c r="D11" s="9" t="s">
        <v>2592</v>
      </c>
      <c r="E11" s="9" t="s">
        <v>2598</v>
      </c>
    </row>
    <row r="12" customFormat="false" ht="15" hidden="false" customHeight="false" outlineLevel="0" collapsed="false">
      <c r="A12" s="8" t="s">
        <v>2599</v>
      </c>
      <c r="B12" s="8" t="s">
        <v>2600</v>
      </c>
      <c r="C12" s="8" t="s">
        <v>2601</v>
      </c>
      <c r="D12" s="8" t="s">
        <v>2576</v>
      </c>
      <c r="E12" s="8" t="s">
        <v>1543</v>
      </c>
    </row>
    <row r="13" customFormat="false" ht="15" hidden="false" customHeight="false" outlineLevel="0" collapsed="false">
      <c r="A13" s="9" t="s">
        <v>2602</v>
      </c>
      <c r="B13" s="9" t="s">
        <v>2603</v>
      </c>
      <c r="C13" s="9" t="s">
        <v>2604</v>
      </c>
      <c r="D13" s="9" t="s">
        <v>2576</v>
      </c>
      <c r="E13" s="9" t="s">
        <v>1543</v>
      </c>
    </row>
    <row r="14" customFormat="false" ht="35.05" hidden="false" customHeight="false" outlineLevel="0" collapsed="false">
      <c r="A14" s="8" t="s">
        <v>2605</v>
      </c>
      <c r="B14" s="8" t="s">
        <v>2606</v>
      </c>
      <c r="C14" s="8" t="s">
        <v>2607</v>
      </c>
      <c r="D14" s="8" t="s">
        <v>2592</v>
      </c>
      <c r="E14" s="8" t="s">
        <v>2479</v>
      </c>
    </row>
    <row r="15" customFormat="false" ht="15" hidden="false" customHeight="false" outlineLevel="0" collapsed="false">
      <c r="A15" s="9" t="s">
        <v>2608</v>
      </c>
      <c r="B15" s="9" t="s">
        <v>2609</v>
      </c>
      <c r="C15" s="9" t="s">
        <v>2610</v>
      </c>
      <c r="D15" s="9" t="s">
        <v>2576</v>
      </c>
      <c r="E15" s="9" t="s">
        <v>2483</v>
      </c>
    </row>
    <row r="16" customFormat="false" ht="23.85" hidden="false" customHeight="false" outlineLevel="0" collapsed="false">
      <c r="A16" s="8" t="s">
        <v>2611</v>
      </c>
      <c r="B16" s="8" t="s">
        <v>2612</v>
      </c>
      <c r="C16" s="8" t="s">
        <v>2613</v>
      </c>
      <c r="D16" s="8" t="s">
        <v>2576</v>
      </c>
      <c r="E16" s="8" t="s">
        <v>1543</v>
      </c>
    </row>
    <row r="17" customFormat="false" ht="15" hidden="false" customHeight="false" outlineLevel="0" collapsed="false">
      <c r="A17" s="9" t="s">
        <v>2614</v>
      </c>
      <c r="B17" s="9" t="s">
        <v>2615</v>
      </c>
      <c r="C17" s="9" t="s">
        <v>2616</v>
      </c>
      <c r="D17" s="9" t="s">
        <v>2592</v>
      </c>
      <c r="E17" s="9" t="s">
        <v>1543</v>
      </c>
    </row>
    <row r="18" customFormat="false" ht="15" hidden="false" customHeight="false" outlineLevel="0" collapsed="false">
      <c r="A18" s="8" t="s">
        <v>2617</v>
      </c>
      <c r="B18" s="8" t="s">
        <v>2618</v>
      </c>
      <c r="C18" s="8" t="s">
        <v>2619</v>
      </c>
      <c r="D18" s="8" t="s">
        <v>2576</v>
      </c>
      <c r="E18" s="8" t="s">
        <v>1543</v>
      </c>
    </row>
    <row r="19" customFormat="false" ht="15" hidden="false" customHeight="false" outlineLevel="0" collapsed="false">
      <c r="A19" s="9" t="s">
        <v>2620</v>
      </c>
      <c r="B19" s="9" t="s">
        <v>2621</v>
      </c>
      <c r="C19" s="9" t="s">
        <v>2622</v>
      </c>
      <c r="D19" s="9" t="s">
        <v>2576</v>
      </c>
      <c r="E19" s="9" t="s">
        <v>2483</v>
      </c>
    </row>
  </sheetData>
  <autoFilter ref="A3:E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100"/>
  </cols>
  <sheetData>
    <row r="1" customFormat="false" ht="19.7" hidden="false" customHeight="false" outlineLevel="0" collapsed="false">
      <c r="A1" s="1" t="s">
        <v>2623</v>
      </c>
    </row>
    <row r="2" customFormat="false" ht="15" hidden="false" customHeight="false" outlineLevel="0" collapsed="false">
      <c r="A2" s="2" t="s">
        <v>2624</v>
      </c>
    </row>
    <row r="3" customFormat="false" ht="15" hidden="false" customHeight="false" outlineLevel="0" collapsed="false">
      <c r="A3" s="7" t="s">
        <v>124</v>
      </c>
      <c r="B3" s="7" t="s">
        <v>2625</v>
      </c>
      <c r="C3" s="7" t="s">
        <v>2626</v>
      </c>
    </row>
    <row r="4" customFormat="false" ht="23.85" hidden="false" customHeight="false" outlineLevel="0" collapsed="false">
      <c r="A4" s="8" t="s">
        <v>2627</v>
      </c>
      <c r="B4" s="8" t="s">
        <v>2628</v>
      </c>
      <c r="C4" s="8" t="s">
        <v>2629</v>
      </c>
    </row>
    <row r="5" customFormat="false" ht="23.85" hidden="false" customHeight="false" outlineLevel="0" collapsed="false">
      <c r="A5" s="9" t="s">
        <v>2630</v>
      </c>
      <c r="B5" s="9" t="s">
        <v>2631</v>
      </c>
      <c r="C5" s="9" t="s">
        <v>2632</v>
      </c>
    </row>
    <row r="6" customFormat="false" ht="15" hidden="false" customHeight="false" outlineLevel="0" collapsed="false">
      <c r="A6" s="8" t="s">
        <v>2633</v>
      </c>
      <c r="B6" s="8" t="s">
        <v>2634</v>
      </c>
      <c r="C6" s="8" t="s">
        <v>2635</v>
      </c>
    </row>
    <row r="7" customFormat="false" ht="15" hidden="false" customHeight="false" outlineLevel="0" collapsed="false">
      <c r="A7" s="9" t="s">
        <v>2636</v>
      </c>
      <c r="B7" s="9" t="s">
        <v>2637</v>
      </c>
      <c r="C7" s="9" t="s">
        <v>2638</v>
      </c>
    </row>
    <row r="8" customFormat="false" ht="23.85" hidden="false" customHeight="false" outlineLevel="0" collapsed="false">
      <c r="A8" s="8" t="s">
        <v>2639</v>
      </c>
      <c r="B8" s="8" t="s">
        <v>2640</v>
      </c>
      <c r="C8" s="8" t="s">
        <v>2641</v>
      </c>
    </row>
    <row r="9" customFormat="false" ht="23.85" hidden="false" customHeight="false" outlineLevel="0" collapsed="false">
      <c r="A9" s="9" t="s">
        <v>2642</v>
      </c>
      <c r="B9" s="9" t="s">
        <v>2643</v>
      </c>
      <c r="C9" s="9" t="s">
        <v>2644</v>
      </c>
    </row>
    <row r="10" customFormat="false" ht="23.85" hidden="false" customHeight="false" outlineLevel="0" collapsed="false">
      <c r="A10" s="8" t="s">
        <v>2645</v>
      </c>
      <c r="B10" s="8" t="s">
        <v>2646</v>
      </c>
      <c r="C10" s="8" t="s">
        <v>2647</v>
      </c>
    </row>
    <row r="11" customFormat="false" ht="23.85" hidden="false" customHeight="false" outlineLevel="0" collapsed="false">
      <c r="A11" s="9" t="s">
        <v>2648</v>
      </c>
      <c r="B11" s="9" t="s">
        <v>2649</v>
      </c>
      <c r="C11" s="9" t="s">
        <v>2650</v>
      </c>
    </row>
    <row r="12" customFormat="false" ht="23.85" hidden="false" customHeight="false" outlineLevel="0" collapsed="false">
      <c r="A12" s="8" t="s">
        <v>2651</v>
      </c>
      <c r="B12" s="8" t="s">
        <v>2652</v>
      </c>
      <c r="C12" s="8" t="s">
        <v>2653</v>
      </c>
    </row>
    <row r="13" customFormat="false" ht="23.85" hidden="false" customHeight="false" outlineLevel="0" collapsed="false">
      <c r="A13" s="9" t="s">
        <v>2654</v>
      </c>
      <c r="B13" s="9" t="s">
        <v>2655</v>
      </c>
      <c r="C13" s="9" t="s">
        <v>2656</v>
      </c>
    </row>
    <row r="14" customFormat="false" ht="23.85" hidden="false" customHeight="false" outlineLevel="0" collapsed="false">
      <c r="A14" s="8" t="s">
        <v>2657</v>
      </c>
      <c r="B14" s="8" t="s">
        <v>2658</v>
      </c>
      <c r="C14" s="8" t="s">
        <v>2659</v>
      </c>
    </row>
    <row r="15" customFormat="false" ht="23.85" hidden="false" customHeight="false" outlineLevel="0" collapsed="false">
      <c r="A15" s="9" t="s">
        <v>2660</v>
      </c>
      <c r="B15" s="9" t="s">
        <v>2661</v>
      </c>
      <c r="C15" s="9" t="s">
        <v>2662</v>
      </c>
    </row>
    <row r="16" customFormat="false" ht="23.85" hidden="false" customHeight="false" outlineLevel="0" collapsed="false">
      <c r="A16" s="8" t="s">
        <v>2663</v>
      </c>
      <c r="B16" s="8" t="s">
        <v>2664</v>
      </c>
      <c r="C16" s="8" t="s">
        <v>2665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13"/>
    <col collapsed="false" customWidth="true" hidden="false" outlineLevel="0" max="4" min="4" style="0" width="16"/>
    <col collapsed="false" customWidth="true" hidden="false" outlineLevel="0" max="5" min="5" style="0" width="26"/>
    <col collapsed="false" customWidth="true" hidden="false" outlineLevel="0" max="6" min="6" style="0" width="20"/>
    <col collapsed="false" customWidth="true" hidden="false" outlineLevel="0" max="7" min="7" style="0" width="32"/>
    <col collapsed="false" customWidth="true" hidden="false" outlineLevel="0" max="8" min="8" style="0" width="22"/>
    <col collapsed="false" customWidth="true" hidden="false" outlineLevel="0" max="9" min="9" style="0" width="40"/>
  </cols>
  <sheetData>
    <row r="1" customFormat="false" ht="19.7" hidden="false" customHeight="false" outlineLevel="0" collapsed="false">
      <c r="A1" s="1" t="s">
        <v>2666</v>
      </c>
    </row>
    <row r="2" customFormat="false" ht="15" hidden="false" customHeight="false" outlineLevel="0" collapsed="false">
      <c r="A2" s="2" t="s">
        <v>2667</v>
      </c>
    </row>
    <row r="3" customFormat="false" ht="15" hidden="false" customHeight="false" outlineLevel="0" collapsed="false">
      <c r="A3" s="7" t="s">
        <v>124</v>
      </c>
      <c r="B3" s="7" t="s">
        <v>2668</v>
      </c>
      <c r="C3" s="7" t="s">
        <v>2003</v>
      </c>
      <c r="D3" s="7" t="s">
        <v>1528</v>
      </c>
      <c r="E3" s="7" t="s">
        <v>2669</v>
      </c>
      <c r="F3" s="7" t="s">
        <v>2670</v>
      </c>
      <c r="G3" s="7" t="s">
        <v>1252</v>
      </c>
      <c r="H3" s="7" t="s">
        <v>2671</v>
      </c>
      <c r="I3" s="7" t="s">
        <v>1531</v>
      </c>
    </row>
    <row r="4" customFormat="false" ht="15" hidden="false" customHeight="false" outlineLevel="0" collapsed="false">
      <c r="A4" s="8" t="s">
        <v>2672</v>
      </c>
      <c r="B4" s="8" t="s">
        <v>2673</v>
      </c>
      <c r="C4" s="8" t="s">
        <v>2674</v>
      </c>
      <c r="D4" s="55" t="s">
        <v>2675</v>
      </c>
      <c r="E4" s="8" t="s">
        <v>2676</v>
      </c>
      <c r="F4" s="8" t="s">
        <v>139</v>
      </c>
      <c r="G4" s="8" t="s">
        <v>2677</v>
      </c>
      <c r="H4" s="8" t="s">
        <v>2678</v>
      </c>
      <c r="I4" s="8" t="s">
        <v>2679</v>
      </c>
    </row>
    <row r="5" customFormat="false" ht="23.85" hidden="false" customHeight="false" outlineLevel="0" collapsed="false">
      <c r="A5" s="9" t="s">
        <v>2680</v>
      </c>
      <c r="B5" s="9" t="s">
        <v>2681</v>
      </c>
      <c r="C5" s="9" t="s">
        <v>2674</v>
      </c>
      <c r="D5" s="55" t="s">
        <v>2675</v>
      </c>
      <c r="E5" s="9" t="s">
        <v>2676</v>
      </c>
      <c r="F5" s="9" t="s">
        <v>139</v>
      </c>
      <c r="G5" s="9" t="s">
        <v>2682</v>
      </c>
      <c r="H5" s="9" t="s">
        <v>2678</v>
      </c>
      <c r="I5" s="9"/>
    </row>
    <row r="6" customFormat="false" ht="15" hidden="false" customHeight="false" outlineLevel="0" collapsed="false">
      <c r="A6" s="8" t="s">
        <v>2683</v>
      </c>
      <c r="B6" s="8" t="s">
        <v>1305</v>
      </c>
      <c r="C6" s="8" t="s">
        <v>2674</v>
      </c>
      <c r="D6" s="55" t="s">
        <v>2675</v>
      </c>
      <c r="E6" s="8" t="s">
        <v>2676</v>
      </c>
      <c r="F6" s="8" t="s">
        <v>139</v>
      </c>
      <c r="G6" s="8" t="s">
        <v>2684</v>
      </c>
      <c r="H6" s="8" t="s">
        <v>2678</v>
      </c>
      <c r="I6" s="8" t="s">
        <v>2685</v>
      </c>
    </row>
    <row r="7" customFormat="false" ht="15" hidden="false" customHeight="false" outlineLevel="0" collapsed="false">
      <c r="A7" s="9" t="s">
        <v>2686</v>
      </c>
      <c r="B7" s="9" t="s">
        <v>2687</v>
      </c>
      <c r="C7" s="9" t="s">
        <v>2674</v>
      </c>
      <c r="D7" s="55" t="s">
        <v>2675</v>
      </c>
      <c r="E7" s="9" t="s">
        <v>2676</v>
      </c>
      <c r="F7" s="9" t="s">
        <v>139</v>
      </c>
      <c r="G7" s="9" t="s">
        <v>2688</v>
      </c>
      <c r="H7" s="9" t="s">
        <v>2678</v>
      </c>
      <c r="I7" s="9" t="s">
        <v>2689</v>
      </c>
    </row>
    <row r="8" customFormat="false" ht="15" hidden="false" customHeight="false" outlineLevel="0" collapsed="false">
      <c r="A8" s="8" t="s">
        <v>2690</v>
      </c>
      <c r="B8" s="8" t="s">
        <v>1172</v>
      </c>
      <c r="C8" s="8" t="s">
        <v>2674</v>
      </c>
      <c r="D8" s="55" t="s">
        <v>2675</v>
      </c>
      <c r="E8" s="8" t="s">
        <v>2676</v>
      </c>
      <c r="F8" s="8" t="s">
        <v>139</v>
      </c>
      <c r="G8" s="8" t="s">
        <v>2688</v>
      </c>
      <c r="H8" s="8" t="s">
        <v>2678</v>
      </c>
      <c r="I8" s="8" t="s">
        <v>2691</v>
      </c>
    </row>
    <row r="9" customFormat="false" ht="15" hidden="false" customHeight="false" outlineLevel="0" collapsed="false">
      <c r="A9" s="9" t="s">
        <v>2692</v>
      </c>
      <c r="B9" s="9" t="s">
        <v>1195</v>
      </c>
      <c r="C9" s="9" t="s">
        <v>2674</v>
      </c>
      <c r="D9" s="55" t="s">
        <v>2675</v>
      </c>
      <c r="E9" s="9" t="s">
        <v>2676</v>
      </c>
      <c r="F9" s="9" t="s">
        <v>139</v>
      </c>
      <c r="G9" s="9" t="s">
        <v>2688</v>
      </c>
      <c r="H9" s="9" t="s">
        <v>2678</v>
      </c>
      <c r="I9" s="9" t="s">
        <v>2691</v>
      </c>
    </row>
    <row r="10" customFormat="false" ht="15" hidden="false" customHeight="false" outlineLevel="0" collapsed="false">
      <c r="A10" s="8" t="s">
        <v>2693</v>
      </c>
      <c r="B10" s="8" t="s">
        <v>2694</v>
      </c>
      <c r="C10" s="8" t="s">
        <v>2674</v>
      </c>
      <c r="D10" s="55" t="s">
        <v>2675</v>
      </c>
      <c r="E10" s="8" t="s">
        <v>2676</v>
      </c>
      <c r="F10" s="8" t="s">
        <v>139</v>
      </c>
      <c r="G10" s="8" t="s">
        <v>2688</v>
      </c>
      <c r="H10" s="8" t="s">
        <v>2678</v>
      </c>
      <c r="I10" s="8" t="s">
        <v>2691</v>
      </c>
    </row>
    <row r="11" customFormat="false" ht="23.85" hidden="false" customHeight="false" outlineLevel="0" collapsed="false">
      <c r="A11" s="9" t="s">
        <v>2695</v>
      </c>
      <c r="B11" s="9" t="s">
        <v>2696</v>
      </c>
      <c r="C11" s="9" t="s">
        <v>2674</v>
      </c>
      <c r="D11" s="55" t="s">
        <v>2675</v>
      </c>
      <c r="E11" s="9" t="s">
        <v>2676</v>
      </c>
      <c r="F11" s="9" t="s">
        <v>139</v>
      </c>
      <c r="G11" s="9" t="s">
        <v>2697</v>
      </c>
      <c r="H11" s="9" t="s">
        <v>2678</v>
      </c>
      <c r="I11" s="9" t="s">
        <v>2691</v>
      </c>
    </row>
    <row r="12" customFormat="false" ht="15" hidden="false" customHeight="false" outlineLevel="0" collapsed="false">
      <c r="A12" s="8" t="s">
        <v>2698</v>
      </c>
      <c r="B12" s="8" t="s">
        <v>2699</v>
      </c>
      <c r="C12" s="8" t="s">
        <v>2674</v>
      </c>
      <c r="D12" s="55" t="s">
        <v>2675</v>
      </c>
      <c r="E12" s="8" t="s">
        <v>2676</v>
      </c>
      <c r="F12" s="8" t="s">
        <v>139</v>
      </c>
      <c r="G12" s="8" t="s">
        <v>2700</v>
      </c>
      <c r="H12" s="8" t="s">
        <v>2678</v>
      </c>
      <c r="I12" s="8" t="s">
        <v>2691</v>
      </c>
    </row>
    <row r="13" customFormat="false" ht="15" hidden="false" customHeight="false" outlineLevel="0" collapsed="false">
      <c r="A13" s="9" t="s">
        <v>2701</v>
      </c>
      <c r="B13" s="9" t="s">
        <v>2702</v>
      </c>
      <c r="C13" s="9" t="s">
        <v>2674</v>
      </c>
      <c r="D13" s="55" t="s">
        <v>2675</v>
      </c>
      <c r="E13" s="9" t="s">
        <v>2676</v>
      </c>
      <c r="F13" s="9" t="s">
        <v>139</v>
      </c>
      <c r="G13" s="9" t="s">
        <v>2703</v>
      </c>
      <c r="H13" s="9" t="s">
        <v>2678</v>
      </c>
      <c r="I13" s="9" t="s">
        <v>2691</v>
      </c>
    </row>
    <row r="14" customFormat="false" ht="15" hidden="false" customHeight="false" outlineLevel="0" collapsed="false">
      <c r="A14" s="8" t="s">
        <v>2704</v>
      </c>
      <c r="B14" s="8" t="s">
        <v>2705</v>
      </c>
      <c r="C14" s="8" t="s">
        <v>2674</v>
      </c>
      <c r="D14" s="55" t="s">
        <v>2675</v>
      </c>
      <c r="E14" s="8" t="s">
        <v>2676</v>
      </c>
      <c r="F14" s="8" t="s">
        <v>139</v>
      </c>
      <c r="G14" s="8" t="s">
        <v>2706</v>
      </c>
      <c r="H14" s="8" t="s">
        <v>2678</v>
      </c>
      <c r="I14" s="8"/>
    </row>
    <row r="15" customFormat="false" ht="23.85" hidden="false" customHeight="false" outlineLevel="0" collapsed="false">
      <c r="A15" s="9" t="s">
        <v>2707</v>
      </c>
      <c r="B15" s="9" t="s">
        <v>2708</v>
      </c>
      <c r="C15" s="9" t="s">
        <v>2674</v>
      </c>
      <c r="D15" s="55" t="s">
        <v>2675</v>
      </c>
      <c r="E15" s="9" t="s">
        <v>2709</v>
      </c>
      <c r="F15" s="9" t="s">
        <v>139</v>
      </c>
      <c r="G15" s="9" t="s">
        <v>2710</v>
      </c>
      <c r="H15" s="9" t="s">
        <v>2678</v>
      </c>
      <c r="I15" s="9" t="s">
        <v>2711</v>
      </c>
    </row>
    <row r="16" customFormat="false" ht="15" hidden="false" customHeight="false" outlineLevel="0" collapsed="false">
      <c r="A16" s="8" t="s">
        <v>2712</v>
      </c>
      <c r="B16" s="8" t="s">
        <v>2713</v>
      </c>
      <c r="C16" s="8" t="s">
        <v>2674</v>
      </c>
      <c r="D16" s="55" t="s">
        <v>2675</v>
      </c>
      <c r="E16" s="8" t="s">
        <v>2676</v>
      </c>
      <c r="F16" s="8" t="s">
        <v>139</v>
      </c>
      <c r="G16" s="8" t="s">
        <v>2714</v>
      </c>
      <c r="H16" s="8" t="s">
        <v>2678</v>
      </c>
      <c r="I16" s="8"/>
    </row>
    <row r="17" customFormat="false" ht="15" hidden="false" customHeight="false" outlineLevel="0" collapsed="false">
      <c r="A17" s="9" t="s">
        <v>2715</v>
      </c>
      <c r="B17" s="9" t="s">
        <v>2716</v>
      </c>
      <c r="C17" s="9" t="s">
        <v>2674</v>
      </c>
      <c r="D17" s="55" t="s">
        <v>2675</v>
      </c>
      <c r="E17" s="9" t="s">
        <v>2676</v>
      </c>
      <c r="F17" s="9" t="s">
        <v>139</v>
      </c>
      <c r="G17" s="9" t="s">
        <v>2714</v>
      </c>
      <c r="H17" s="9" t="s">
        <v>2678</v>
      </c>
      <c r="I17" s="9"/>
    </row>
    <row r="18" customFormat="false" ht="15" hidden="false" customHeight="false" outlineLevel="0" collapsed="false">
      <c r="A18" s="8" t="s">
        <v>2717</v>
      </c>
      <c r="B18" s="8" t="s">
        <v>2718</v>
      </c>
      <c r="C18" s="8" t="s">
        <v>2674</v>
      </c>
      <c r="D18" s="55" t="s">
        <v>2675</v>
      </c>
      <c r="E18" s="8" t="s">
        <v>2676</v>
      </c>
      <c r="F18" s="8" t="s">
        <v>139</v>
      </c>
      <c r="G18" s="8" t="s">
        <v>2719</v>
      </c>
      <c r="H18" s="8" t="s">
        <v>2678</v>
      </c>
      <c r="I18" s="8"/>
    </row>
    <row r="19" customFormat="false" ht="15" hidden="false" customHeight="false" outlineLevel="0" collapsed="false">
      <c r="A19" s="9" t="s">
        <v>2720</v>
      </c>
      <c r="B19" s="9" t="s">
        <v>2721</v>
      </c>
      <c r="C19" s="9" t="s">
        <v>2674</v>
      </c>
      <c r="D19" s="56" t="s">
        <v>2722</v>
      </c>
      <c r="E19" s="9" t="s">
        <v>2723</v>
      </c>
      <c r="F19" s="9" t="s">
        <v>139</v>
      </c>
      <c r="G19" s="9" t="s">
        <v>2724</v>
      </c>
      <c r="H19" s="9" t="s">
        <v>2725</v>
      </c>
      <c r="I19" s="9" t="s">
        <v>2726</v>
      </c>
    </row>
    <row r="20" customFormat="false" ht="15" hidden="false" customHeight="false" outlineLevel="0" collapsed="false">
      <c r="A20" s="8" t="s">
        <v>2727</v>
      </c>
      <c r="B20" s="8" t="s">
        <v>2728</v>
      </c>
      <c r="C20" s="8" t="s">
        <v>2674</v>
      </c>
      <c r="D20" s="56" t="s">
        <v>2722</v>
      </c>
      <c r="E20" s="8" t="s">
        <v>2723</v>
      </c>
      <c r="F20" s="8" t="s">
        <v>139</v>
      </c>
      <c r="G20" s="8" t="s">
        <v>134</v>
      </c>
      <c r="H20" s="8" t="s">
        <v>2725</v>
      </c>
      <c r="I20" s="8"/>
    </row>
    <row r="21" customFormat="false" ht="15" hidden="false" customHeight="false" outlineLevel="0" collapsed="false">
      <c r="A21" s="9" t="s">
        <v>2729</v>
      </c>
      <c r="B21" s="9" t="s">
        <v>2730</v>
      </c>
      <c r="C21" s="9" t="s">
        <v>2674</v>
      </c>
      <c r="D21" s="56" t="s">
        <v>2722</v>
      </c>
      <c r="E21" s="9" t="s">
        <v>2723</v>
      </c>
      <c r="F21" s="9" t="s">
        <v>139</v>
      </c>
      <c r="G21" s="9" t="s">
        <v>2684</v>
      </c>
      <c r="H21" s="9" t="s">
        <v>2731</v>
      </c>
      <c r="I21" s="9" t="s">
        <v>2732</v>
      </c>
    </row>
    <row r="22" customFormat="false" ht="15" hidden="false" customHeight="false" outlineLevel="0" collapsed="false">
      <c r="A22" s="8" t="s">
        <v>2733</v>
      </c>
      <c r="B22" s="8" t="s">
        <v>2734</v>
      </c>
      <c r="C22" s="8" t="s">
        <v>2674</v>
      </c>
      <c r="D22" s="56" t="s">
        <v>2722</v>
      </c>
      <c r="E22" s="8" t="s">
        <v>2723</v>
      </c>
      <c r="F22" s="8" t="s">
        <v>139</v>
      </c>
      <c r="G22" s="8"/>
      <c r="H22" s="8" t="s">
        <v>2678</v>
      </c>
      <c r="I22" s="8"/>
    </row>
    <row r="23" customFormat="false" ht="15" hidden="false" customHeight="false" outlineLevel="0" collapsed="false">
      <c r="A23" s="9" t="s">
        <v>2735</v>
      </c>
      <c r="B23" s="9" t="s">
        <v>2736</v>
      </c>
      <c r="C23" s="9" t="s">
        <v>2674</v>
      </c>
      <c r="D23" s="56" t="s">
        <v>2722</v>
      </c>
      <c r="E23" s="9" t="s">
        <v>2723</v>
      </c>
      <c r="F23" s="9" t="s">
        <v>139</v>
      </c>
      <c r="G23" s="9" t="s">
        <v>2706</v>
      </c>
      <c r="H23" s="9" t="s">
        <v>2678</v>
      </c>
      <c r="I23" s="9"/>
    </row>
    <row r="24" customFormat="false" ht="15" hidden="false" customHeight="false" outlineLevel="0" collapsed="false">
      <c r="A24" s="8" t="s">
        <v>2737</v>
      </c>
      <c r="B24" s="8" t="s">
        <v>2738</v>
      </c>
      <c r="C24" s="8" t="s">
        <v>2674</v>
      </c>
      <c r="D24" s="56" t="s">
        <v>2722</v>
      </c>
      <c r="E24" s="8" t="s">
        <v>2723</v>
      </c>
      <c r="F24" s="8" t="s">
        <v>139</v>
      </c>
      <c r="G24" s="8" t="s">
        <v>2739</v>
      </c>
      <c r="H24" s="8" t="s">
        <v>2678</v>
      </c>
      <c r="I24" s="8" t="s">
        <v>2740</v>
      </c>
    </row>
    <row r="25" customFormat="false" ht="15" hidden="false" customHeight="false" outlineLevel="0" collapsed="false">
      <c r="A25" s="9" t="s">
        <v>2741</v>
      </c>
      <c r="B25" s="9" t="s">
        <v>2742</v>
      </c>
      <c r="C25" s="9" t="s">
        <v>2674</v>
      </c>
      <c r="D25" s="56" t="s">
        <v>2722</v>
      </c>
      <c r="E25" s="9" t="s">
        <v>2723</v>
      </c>
      <c r="F25" s="9" t="s">
        <v>139</v>
      </c>
      <c r="G25" s="9" t="s">
        <v>2743</v>
      </c>
      <c r="H25" s="9" t="s">
        <v>2678</v>
      </c>
      <c r="I25" s="9" t="s">
        <v>1543</v>
      </c>
    </row>
    <row r="26" customFormat="false" ht="15" hidden="false" customHeight="false" outlineLevel="0" collapsed="false">
      <c r="A26" s="8" t="s">
        <v>2744</v>
      </c>
      <c r="B26" s="8" t="s">
        <v>2745</v>
      </c>
      <c r="C26" s="8" t="s">
        <v>2674</v>
      </c>
      <c r="D26" s="56" t="s">
        <v>2722</v>
      </c>
      <c r="E26" s="8" t="s">
        <v>2723</v>
      </c>
      <c r="F26" s="8" t="s">
        <v>139</v>
      </c>
      <c r="G26" s="8"/>
      <c r="H26" s="8" t="s">
        <v>2746</v>
      </c>
      <c r="I26" s="8"/>
    </row>
    <row r="27" customFormat="false" ht="15" hidden="false" customHeight="false" outlineLevel="0" collapsed="false">
      <c r="A27" s="9" t="s">
        <v>2747</v>
      </c>
      <c r="B27" s="9" t="s">
        <v>1297</v>
      </c>
      <c r="C27" s="9" t="s">
        <v>416</v>
      </c>
      <c r="D27" s="57" t="s">
        <v>2748</v>
      </c>
      <c r="E27" s="9" t="s">
        <v>2749</v>
      </c>
      <c r="F27" s="9" t="s">
        <v>2750</v>
      </c>
      <c r="G27" s="9" t="s">
        <v>139</v>
      </c>
      <c r="H27" s="9" t="s">
        <v>416</v>
      </c>
      <c r="I27" s="9" t="s">
        <v>2751</v>
      </c>
    </row>
    <row r="28" customFormat="false" ht="15" hidden="false" customHeight="false" outlineLevel="0" collapsed="false">
      <c r="A28" s="8" t="s">
        <v>2752</v>
      </c>
      <c r="B28" s="8" t="s">
        <v>2753</v>
      </c>
      <c r="C28" s="8" t="s">
        <v>416</v>
      </c>
      <c r="D28" s="57" t="s">
        <v>2748</v>
      </c>
      <c r="E28" s="8" t="s">
        <v>2749</v>
      </c>
      <c r="F28" s="8" t="s">
        <v>2750</v>
      </c>
      <c r="G28" s="8"/>
      <c r="H28" s="8" t="s">
        <v>416</v>
      </c>
      <c r="I28" s="8" t="s">
        <v>2754</v>
      </c>
    </row>
    <row r="29" customFormat="false" ht="15" hidden="false" customHeight="false" outlineLevel="0" collapsed="false">
      <c r="A29" s="9" t="s">
        <v>2755</v>
      </c>
      <c r="B29" s="9" t="s">
        <v>879</v>
      </c>
      <c r="C29" s="9" t="s">
        <v>416</v>
      </c>
      <c r="D29" s="57" t="s">
        <v>2748</v>
      </c>
      <c r="E29" s="9" t="s">
        <v>2756</v>
      </c>
      <c r="F29" s="9" t="s">
        <v>2750</v>
      </c>
      <c r="G29" s="9" t="s">
        <v>2757</v>
      </c>
      <c r="H29" s="9" t="s">
        <v>416</v>
      </c>
      <c r="I29" s="9" t="s">
        <v>2758</v>
      </c>
    </row>
    <row r="30" customFormat="false" ht="15" hidden="false" customHeight="false" outlineLevel="0" collapsed="false">
      <c r="A30" s="8" t="s">
        <v>2759</v>
      </c>
      <c r="B30" s="8" t="s">
        <v>2760</v>
      </c>
      <c r="C30" s="8" t="s">
        <v>416</v>
      </c>
      <c r="D30" s="57" t="s">
        <v>2748</v>
      </c>
      <c r="E30" s="8" t="s">
        <v>2749</v>
      </c>
      <c r="F30" s="8" t="s">
        <v>2750</v>
      </c>
      <c r="G30" s="8"/>
      <c r="H30" s="8" t="s">
        <v>416</v>
      </c>
      <c r="I30" s="8"/>
    </row>
    <row r="31" customFormat="false" ht="15" hidden="false" customHeight="false" outlineLevel="0" collapsed="false">
      <c r="A31" s="9" t="s">
        <v>2761</v>
      </c>
      <c r="B31" s="9" t="s">
        <v>2762</v>
      </c>
      <c r="C31" s="9" t="s">
        <v>416</v>
      </c>
      <c r="D31" s="57" t="s">
        <v>2748</v>
      </c>
      <c r="E31" s="9" t="s">
        <v>2749</v>
      </c>
      <c r="F31" s="9" t="s">
        <v>2750</v>
      </c>
      <c r="G31" s="9" t="s">
        <v>2763</v>
      </c>
      <c r="H31" s="9" t="s">
        <v>416</v>
      </c>
      <c r="I31" s="9"/>
    </row>
    <row r="32" customFormat="false" ht="15" hidden="false" customHeight="false" outlineLevel="0" collapsed="false">
      <c r="A32" s="8" t="s">
        <v>2764</v>
      </c>
      <c r="B32" s="8" t="s">
        <v>2765</v>
      </c>
      <c r="C32" s="8" t="s">
        <v>416</v>
      </c>
      <c r="D32" s="57" t="s">
        <v>2748</v>
      </c>
      <c r="E32" s="8" t="s">
        <v>2749</v>
      </c>
      <c r="F32" s="8" t="s">
        <v>2766</v>
      </c>
      <c r="G32" s="8"/>
      <c r="H32" s="8" t="s">
        <v>416</v>
      </c>
      <c r="I32" s="8" t="s">
        <v>2767</v>
      </c>
    </row>
    <row r="33" customFormat="false" ht="15" hidden="false" customHeight="false" outlineLevel="0" collapsed="false">
      <c r="A33" s="9" t="s">
        <v>2768</v>
      </c>
      <c r="B33" s="9" t="s">
        <v>1290</v>
      </c>
      <c r="C33" s="9" t="s">
        <v>416</v>
      </c>
      <c r="D33" s="57" t="s">
        <v>2748</v>
      </c>
      <c r="E33" s="9" t="s">
        <v>2749</v>
      </c>
      <c r="F33" s="9" t="s">
        <v>2766</v>
      </c>
      <c r="G33" s="9"/>
      <c r="H33" s="9" t="s">
        <v>416</v>
      </c>
      <c r="I33" s="9" t="s">
        <v>2769</v>
      </c>
    </row>
    <row r="34" customFormat="false" ht="15" hidden="false" customHeight="false" outlineLevel="0" collapsed="false">
      <c r="A34" s="8" t="s">
        <v>2770</v>
      </c>
      <c r="B34" s="8" t="s">
        <v>217</v>
      </c>
      <c r="C34" s="8" t="s">
        <v>416</v>
      </c>
      <c r="D34" s="57" t="s">
        <v>2748</v>
      </c>
      <c r="E34" s="8" t="s">
        <v>2749</v>
      </c>
      <c r="F34" s="8" t="s">
        <v>2750</v>
      </c>
      <c r="G34" s="8" t="s">
        <v>1308</v>
      </c>
      <c r="H34" s="8" t="s">
        <v>416</v>
      </c>
      <c r="I34" s="8"/>
    </row>
    <row r="35" customFormat="false" ht="15" hidden="false" customHeight="false" outlineLevel="0" collapsed="false">
      <c r="A35" s="9" t="s">
        <v>2771</v>
      </c>
      <c r="B35" s="9" t="s">
        <v>2772</v>
      </c>
      <c r="C35" s="9" t="s">
        <v>416</v>
      </c>
      <c r="D35" s="57" t="s">
        <v>2748</v>
      </c>
      <c r="E35" s="9" t="s">
        <v>2749</v>
      </c>
      <c r="F35" s="9" t="s">
        <v>2766</v>
      </c>
      <c r="G35" s="9" t="s">
        <v>2773</v>
      </c>
      <c r="H35" s="9" t="s">
        <v>416</v>
      </c>
      <c r="I35" s="9"/>
    </row>
    <row r="36" customFormat="false" ht="15" hidden="false" customHeight="false" outlineLevel="0" collapsed="false">
      <c r="A36" s="8" t="s">
        <v>2774</v>
      </c>
      <c r="B36" s="8" t="s">
        <v>2775</v>
      </c>
      <c r="C36" s="8" t="s">
        <v>416</v>
      </c>
      <c r="D36" s="57" t="s">
        <v>2748</v>
      </c>
      <c r="E36" s="8" t="s">
        <v>2749</v>
      </c>
      <c r="F36" s="8" t="s">
        <v>139</v>
      </c>
      <c r="G36" s="8" t="s">
        <v>2776</v>
      </c>
      <c r="H36" s="8" t="s">
        <v>416</v>
      </c>
      <c r="I36" s="8"/>
    </row>
    <row r="37" customFormat="false" ht="15" hidden="false" customHeight="false" outlineLevel="0" collapsed="false">
      <c r="A37" s="9" t="s">
        <v>2777</v>
      </c>
      <c r="B37" s="9" t="s">
        <v>2778</v>
      </c>
      <c r="C37" s="9" t="s">
        <v>416</v>
      </c>
      <c r="D37" s="57" t="s">
        <v>2748</v>
      </c>
      <c r="E37" s="9" t="s">
        <v>2749</v>
      </c>
      <c r="F37" s="9" t="s">
        <v>144</v>
      </c>
      <c r="G37" s="9"/>
      <c r="H37" s="9" t="s">
        <v>416</v>
      </c>
      <c r="I37" s="9"/>
    </row>
    <row r="38" customFormat="false" ht="15" hidden="false" customHeight="false" outlineLevel="0" collapsed="false">
      <c r="A38" s="8" t="s">
        <v>2779</v>
      </c>
      <c r="B38" s="8" t="s">
        <v>2780</v>
      </c>
      <c r="C38" s="8" t="s">
        <v>1276</v>
      </c>
      <c r="D38" s="58" t="s">
        <v>2781</v>
      </c>
      <c r="E38" s="8" t="s">
        <v>2782</v>
      </c>
      <c r="F38" s="8" t="s">
        <v>2783</v>
      </c>
      <c r="G38" s="8" t="s">
        <v>2784</v>
      </c>
      <c r="H38" s="8" t="s">
        <v>2785</v>
      </c>
      <c r="I38" s="8"/>
    </row>
    <row r="39" customFormat="false" ht="15" hidden="false" customHeight="false" outlineLevel="0" collapsed="false">
      <c r="A39" s="9" t="s">
        <v>2786</v>
      </c>
      <c r="B39" s="9" t="s">
        <v>2787</v>
      </c>
      <c r="C39" s="9" t="s">
        <v>1276</v>
      </c>
      <c r="D39" s="58" t="s">
        <v>2781</v>
      </c>
      <c r="E39" s="9" t="s">
        <v>2782</v>
      </c>
      <c r="F39" s="9" t="s">
        <v>2783</v>
      </c>
      <c r="G39" s="9" t="s">
        <v>2784</v>
      </c>
      <c r="H39" s="9" t="s">
        <v>2785</v>
      </c>
      <c r="I39" s="9"/>
    </row>
    <row r="40" customFormat="false" ht="15" hidden="false" customHeight="false" outlineLevel="0" collapsed="false">
      <c r="A40" s="8" t="s">
        <v>2788</v>
      </c>
      <c r="B40" s="8" t="s">
        <v>2789</v>
      </c>
      <c r="C40" s="8" t="s">
        <v>1276</v>
      </c>
      <c r="D40" s="58" t="s">
        <v>2781</v>
      </c>
      <c r="E40" s="8" t="s">
        <v>2782</v>
      </c>
      <c r="F40" s="8" t="s">
        <v>2783</v>
      </c>
      <c r="G40" s="8" t="s">
        <v>2784</v>
      </c>
      <c r="H40" s="8" t="s">
        <v>2785</v>
      </c>
      <c r="I40" s="8"/>
    </row>
    <row r="41" customFormat="false" ht="15" hidden="false" customHeight="false" outlineLevel="0" collapsed="false">
      <c r="A41" s="9" t="s">
        <v>2790</v>
      </c>
      <c r="B41" s="9" t="s">
        <v>2791</v>
      </c>
      <c r="C41" s="9" t="s">
        <v>1276</v>
      </c>
      <c r="D41" s="58" t="s">
        <v>2781</v>
      </c>
      <c r="E41" s="9" t="s">
        <v>2782</v>
      </c>
      <c r="F41" s="9" t="s">
        <v>139</v>
      </c>
      <c r="G41" s="9" t="s">
        <v>2784</v>
      </c>
      <c r="H41" s="9" t="s">
        <v>2785</v>
      </c>
      <c r="I41" s="9"/>
    </row>
    <row r="42" customFormat="false" ht="15" hidden="false" customHeight="false" outlineLevel="0" collapsed="false">
      <c r="A42" s="8" t="s">
        <v>2792</v>
      </c>
      <c r="B42" s="8" t="s">
        <v>2793</v>
      </c>
      <c r="C42" s="8" t="s">
        <v>1276</v>
      </c>
      <c r="D42" s="58" t="s">
        <v>2781</v>
      </c>
      <c r="E42" s="8" t="s">
        <v>2782</v>
      </c>
      <c r="F42" s="8" t="s">
        <v>139</v>
      </c>
      <c r="G42" s="8" t="s">
        <v>2794</v>
      </c>
      <c r="H42" s="8" t="s">
        <v>2785</v>
      </c>
      <c r="I42" s="8"/>
    </row>
    <row r="43" customFormat="false" ht="15" hidden="false" customHeight="false" outlineLevel="0" collapsed="false">
      <c r="A43" s="9" t="s">
        <v>2795</v>
      </c>
      <c r="B43" s="9" t="s">
        <v>297</v>
      </c>
      <c r="C43" s="9" t="s">
        <v>1276</v>
      </c>
      <c r="D43" s="58" t="s">
        <v>2781</v>
      </c>
      <c r="E43" s="9" t="s">
        <v>2782</v>
      </c>
      <c r="F43" s="9" t="s">
        <v>139</v>
      </c>
      <c r="G43" s="9" t="s">
        <v>2796</v>
      </c>
      <c r="H43" s="9" t="s">
        <v>2785</v>
      </c>
      <c r="I43" s="9"/>
    </row>
    <row r="44" customFormat="false" ht="15" hidden="false" customHeight="false" outlineLevel="0" collapsed="false">
      <c r="A44" s="8" t="s">
        <v>2797</v>
      </c>
      <c r="B44" s="8" t="s">
        <v>2798</v>
      </c>
      <c r="C44" s="8" t="s">
        <v>1276</v>
      </c>
      <c r="D44" s="58" t="s">
        <v>2781</v>
      </c>
      <c r="E44" s="8" t="s">
        <v>2782</v>
      </c>
      <c r="F44" s="8" t="s">
        <v>139</v>
      </c>
      <c r="G44" s="8" t="s">
        <v>2799</v>
      </c>
      <c r="H44" s="8" t="s">
        <v>2785</v>
      </c>
      <c r="I44" s="8"/>
    </row>
    <row r="45" customFormat="false" ht="15" hidden="false" customHeight="false" outlineLevel="0" collapsed="false">
      <c r="A45" s="9" t="s">
        <v>2800</v>
      </c>
      <c r="B45" s="9" t="s">
        <v>2801</v>
      </c>
      <c r="C45" s="9" t="s">
        <v>1276</v>
      </c>
      <c r="D45" s="58" t="s">
        <v>2781</v>
      </c>
      <c r="E45" s="9" t="s">
        <v>2782</v>
      </c>
      <c r="F45" s="9" t="s">
        <v>139</v>
      </c>
      <c r="G45" s="9" t="s">
        <v>1151</v>
      </c>
      <c r="H45" s="9" t="s">
        <v>2785</v>
      </c>
      <c r="I45" s="9"/>
    </row>
    <row r="46" customFormat="false" ht="15" hidden="false" customHeight="false" outlineLevel="0" collapsed="false">
      <c r="A46" s="8" t="s">
        <v>2802</v>
      </c>
      <c r="B46" s="8" t="s">
        <v>2803</v>
      </c>
      <c r="C46" s="8" t="s">
        <v>2804</v>
      </c>
      <c r="D46" s="59" t="s">
        <v>2805</v>
      </c>
      <c r="E46" s="8" t="s">
        <v>2806</v>
      </c>
      <c r="F46" s="8" t="s">
        <v>139</v>
      </c>
      <c r="G46" s="8" t="s">
        <v>2807</v>
      </c>
      <c r="H46" s="8" t="s">
        <v>2808</v>
      </c>
      <c r="I46" s="8" t="s">
        <v>2809</v>
      </c>
    </row>
    <row r="47" customFormat="false" ht="15" hidden="false" customHeight="false" outlineLevel="0" collapsed="false">
      <c r="A47" s="9" t="s">
        <v>2810</v>
      </c>
      <c r="B47" s="9" t="s">
        <v>1307</v>
      </c>
      <c r="C47" s="9" t="s">
        <v>2804</v>
      </c>
      <c r="D47" s="59" t="s">
        <v>2805</v>
      </c>
      <c r="E47" s="9" t="s">
        <v>2806</v>
      </c>
      <c r="F47" s="9" t="s">
        <v>2783</v>
      </c>
      <c r="G47" s="9" t="s">
        <v>2811</v>
      </c>
      <c r="H47" s="9" t="s">
        <v>2808</v>
      </c>
      <c r="I47" s="9"/>
    </row>
    <row r="48" customFormat="false" ht="15" hidden="false" customHeight="false" outlineLevel="0" collapsed="false">
      <c r="A48" s="8" t="s">
        <v>2812</v>
      </c>
      <c r="B48" s="8" t="s">
        <v>2813</v>
      </c>
      <c r="C48" s="8" t="s">
        <v>2804</v>
      </c>
      <c r="D48" s="59" t="s">
        <v>2805</v>
      </c>
      <c r="E48" s="8" t="s">
        <v>2806</v>
      </c>
      <c r="F48" s="8" t="s">
        <v>139</v>
      </c>
      <c r="G48" s="8" t="s">
        <v>2814</v>
      </c>
      <c r="H48" s="8" t="s">
        <v>2808</v>
      </c>
      <c r="I48" s="8" t="s">
        <v>2815</v>
      </c>
    </row>
    <row r="49" customFormat="false" ht="15" hidden="false" customHeight="false" outlineLevel="0" collapsed="false">
      <c r="A49" s="9" t="s">
        <v>2816</v>
      </c>
      <c r="B49" s="9" t="s">
        <v>1263</v>
      </c>
      <c r="C49" s="9" t="s">
        <v>2804</v>
      </c>
      <c r="D49" s="59" t="s">
        <v>2805</v>
      </c>
      <c r="E49" s="9" t="s">
        <v>2806</v>
      </c>
      <c r="F49" s="9" t="s">
        <v>139</v>
      </c>
      <c r="G49" s="9" t="s">
        <v>1268</v>
      </c>
      <c r="H49" s="9" t="s">
        <v>2808</v>
      </c>
      <c r="I49" s="9" t="s">
        <v>2817</v>
      </c>
    </row>
    <row r="50" customFormat="false" ht="15" hidden="false" customHeight="false" outlineLevel="0" collapsed="false">
      <c r="A50" s="8" t="s">
        <v>2818</v>
      </c>
      <c r="B50" s="8" t="s">
        <v>2819</v>
      </c>
      <c r="C50" s="8" t="s">
        <v>2804</v>
      </c>
      <c r="D50" s="59" t="s">
        <v>2805</v>
      </c>
      <c r="E50" s="8" t="s">
        <v>2806</v>
      </c>
      <c r="F50" s="8" t="s">
        <v>139</v>
      </c>
      <c r="G50" s="8" t="s">
        <v>1268</v>
      </c>
      <c r="H50" s="8" t="s">
        <v>2808</v>
      </c>
      <c r="I50" s="8"/>
    </row>
    <row r="51" customFormat="false" ht="23.85" hidden="false" customHeight="false" outlineLevel="0" collapsed="false">
      <c r="A51" s="9" t="s">
        <v>2820</v>
      </c>
      <c r="B51" s="9" t="s">
        <v>2821</v>
      </c>
      <c r="C51" s="9" t="s">
        <v>2804</v>
      </c>
      <c r="D51" s="59" t="s">
        <v>2805</v>
      </c>
      <c r="E51" s="9" t="s">
        <v>2806</v>
      </c>
      <c r="F51" s="9" t="s">
        <v>2822</v>
      </c>
      <c r="G51" s="9" t="s">
        <v>1277</v>
      </c>
      <c r="H51" s="9" t="s">
        <v>2808</v>
      </c>
      <c r="I51" s="9"/>
    </row>
    <row r="52" customFormat="false" ht="15" hidden="false" customHeight="false" outlineLevel="0" collapsed="false">
      <c r="A52" s="8" t="s">
        <v>2823</v>
      </c>
      <c r="B52" s="8" t="s">
        <v>2824</v>
      </c>
      <c r="C52" s="8" t="s">
        <v>2804</v>
      </c>
      <c r="D52" s="59" t="s">
        <v>2805</v>
      </c>
      <c r="E52" s="8" t="s">
        <v>2806</v>
      </c>
      <c r="F52" s="8" t="s">
        <v>139</v>
      </c>
      <c r="G52" s="8" t="s">
        <v>1272</v>
      </c>
      <c r="H52" s="8" t="s">
        <v>2808</v>
      </c>
      <c r="I52" s="8"/>
    </row>
    <row r="53" customFormat="false" ht="15" hidden="false" customHeight="false" outlineLevel="0" collapsed="false">
      <c r="A53" s="9" t="s">
        <v>2825</v>
      </c>
      <c r="B53" s="9" t="s">
        <v>2826</v>
      </c>
      <c r="C53" s="9" t="s">
        <v>2804</v>
      </c>
      <c r="D53" s="59" t="s">
        <v>2805</v>
      </c>
      <c r="E53" s="9" t="s">
        <v>2806</v>
      </c>
      <c r="F53" s="9" t="s">
        <v>2783</v>
      </c>
      <c r="G53" s="9" t="s">
        <v>2811</v>
      </c>
      <c r="H53" s="9" t="s">
        <v>2808</v>
      </c>
      <c r="I53" s="9"/>
    </row>
    <row r="54" customFormat="false" ht="15" hidden="false" customHeight="false" outlineLevel="0" collapsed="false">
      <c r="A54" s="8" t="s">
        <v>2827</v>
      </c>
      <c r="B54" s="8" t="s">
        <v>2828</v>
      </c>
      <c r="C54" s="8" t="s">
        <v>2804</v>
      </c>
      <c r="D54" s="59" t="s">
        <v>2805</v>
      </c>
      <c r="E54" s="8" t="s">
        <v>2806</v>
      </c>
      <c r="F54" s="8" t="s">
        <v>139</v>
      </c>
      <c r="G54" s="8" t="s">
        <v>1261</v>
      </c>
      <c r="H54" s="8" t="s">
        <v>2808</v>
      </c>
      <c r="I54" s="8" t="s">
        <v>2829</v>
      </c>
    </row>
    <row r="55" customFormat="false" ht="15" hidden="false" customHeight="false" outlineLevel="0" collapsed="false">
      <c r="A55" s="9" t="s">
        <v>2830</v>
      </c>
      <c r="B55" s="9" t="s">
        <v>2831</v>
      </c>
      <c r="C55" s="9" t="s">
        <v>2804</v>
      </c>
      <c r="D55" s="59" t="s">
        <v>2805</v>
      </c>
      <c r="E55" s="9" t="s">
        <v>2806</v>
      </c>
      <c r="F55" s="9" t="s">
        <v>139</v>
      </c>
      <c r="G55" s="9" t="s">
        <v>2832</v>
      </c>
      <c r="H55" s="9" t="s">
        <v>2808</v>
      </c>
      <c r="I55" s="9" t="s">
        <v>2833</v>
      </c>
    </row>
    <row r="56" customFormat="false" ht="15" hidden="false" customHeight="false" outlineLevel="0" collapsed="false">
      <c r="A56" s="8" t="s">
        <v>2834</v>
      </c>
      <c r="B56" s="8" t="s">
        <v>1001</v>
      </c>
      <c r="C56" s="8" t="s">
        <v>2804</v>
      </c>
      <c r="D56" s="59" t="s">
        <v>2805</v>
      </c>
      <c r="E56" s="8" t="s">
        <v>2806</v>
      </c>
      <c r="F56" s="8" t="s">
        <v>139</v>
      </c>
      <c r="G56" s="8"/>
      <c r="H56" s="8" t="s">
        <v>2835</v>
      </c>
      <c r="I56" s="8" t="s">
        <v>2836</v>
      </c>
    </row>
    <row r="57" customFormat="false" ht="15" hidden="false" customHeight="false" outlineLevel="0" collapsed="false">
      <c r="A57" s="9" t="s">
        <v>2837</v>
      </c>
      <c r="B57" s="9" t="s">
        <v>898</v>
      </c>
      <c r="C57" s="9" t="s">
        <v>2804</v>
      </c>
      <c r="D57" s="59" t="s">
        <v>2805</v>
      </c>
      <c r="E57" s="9" t="s">
        <v>2806</v>
      </c>
      <c r="F57" s="9" t="s">
        <v>139</v>
      </c>
      <c r="G57" s="9" t="s">
        <v>2838</v>
      </c>
      <c r="H57" s="9" t="s">
        <v>2835</v>
      </c>
      <c r="I57" s="9"/>
    </row>
    <row r="58" customFormat="false" ht="15" hidden="false" customHeight="false" outlineLevel="0" collapsed="false">
      <c r="A58" s="8" t="s">
        <v>2839</v>
      </c>
      <c r="B58" s="8" t="s">
        <v>2840</v>
      </c>
      <c r="C58" s="8" t="s">
        <v>2804</v>
      </c>
      <c r="D58" s="59" t="s">
        <v>2805</v>
      </c>
      <c r="E58" s="8" t="s">
        <v>2806</v>
      </c>
      <c r="F58" s="8" t="s">
        <v>139</v>
      </c>
      <c r="G58" s="8"/>
      <c r="H58" s="8" t="s">
        <v>2835</v>
      </c>
      <c r="I58" s="8" t="s">
        <v>2841</v>
      </c>
    </row>
  </sheetData>
  <autoFilter ref="A3:I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14"/>
    <col collapsed="false" customWidth="true" hidden="false" outlineLevel="0" max="4" min="4" style="0" width="60"/>
    <col collapsed="false" customWidth="true" hidden="false" outlineLevel="0" max="5" min="5" style="0" width="12"/>
  </cols>
  <sheetData>
    <row r="1" customFormat="false" ht="19.7" hidden="false" customHeight="false" outlineLevel="0" collapsed="false">
      <c r="A1" s="1" t="s">
        <v>2842</v>
      </c>
    </row>
    <row r="3" customFormat="false" ht="15" hidden="false" customHeight="false" outlineLevel="0" collapsed="false">
      <c r="A3" s="5" t="s">
        <v>2843</v>
      </c>
      <c r="B3" s="6"/>
      <c r="C3" s="6"/>
      <c r="D3" s="6"/>
      <c r="E3" s="6"/>
    </row>
    <row r="4" customFormat="false" ht="35.05" hidden="false" customHeight="false" outlineLevel="0" collapsed="false">
      <c r="A4" s="3" t="s">
        <v>2844</v>
      </c>
      <c r="B4" s="4" t="s">
        <v>2845</v>
      </c>
    </row>
    <row r="5" customFormat="false" ht="23.85" hidden="false" customHeight="false" outlineLevel="0" collapsed="false">
      <c r="A5" s="3" t="s">
        <v>2846</v>
      </c>
      <c r="B5" s="4" t="s">
        <v>2847</v>
      </c>
    </row>
    <row r="6" customFormat="false" ht="35.05" hidden="false" customHeight="false" outlineLevel="0" collapsed="false">
      <c r="A6" s="3" t="s">
        <v>2848</v>
      </c>
      <c r="B6" s="4" t="s">
        <v>2849</v>
      </c>
    </row>
    <row r="7" customFormat="false" ht="23.85" hidden="false" customHeight="false" outlineLevel="0" collapsed="false">
      <c r="A7" s="3" t="s">
        <v>2850</v>
      </c>
      <c r="B7" s="4" t="s">
        <v>2851</v>
      </c>
    </row>
    <row r="8" customFormat="false" ht="35.05" hidden="false" customHeight="false" outlineLevel="0" collapsed="false">
      <c r="A8" s="3" t="s">
        <v>2852</v>
      </c>
      <c r="B8" s="4" t="s">
        <v>2853</v>
      </c>
    </row>
    <row r="9" customFormat="false" ht="23.85" hidden="false" customHeight="false" outlineLevel="0" collapsed="false">
      <c r="A9" s="3" t="s">
        <v>2854</v>
      </c>
      <c r="B9" s="4" t="s">
        <v>2855</v>
      </c>
    </row>
    <row r="11" customFormat="false" ht="15" hidden="false" customHeight="false" outlineLevel="0" collapsed="false">
      <c r="A11" s="5" t="s">
        <v>2856</v>
      </c>
      <c r="B11" s="6"/>
      <c r="C11" s="6"/>
      <c r="D11" s="6"/>
      <c r="E11" s="6"/>
    </row>
    <row r="12" customFormat="false" ht="23.85" hidden="false" customHeight="false" outlineLevel="0" collapsed="false">
      <c r="A12" s="3" t="s">
        <v>2857</v>
      </c>
      <c r="B12" s="4" t="s">
        <v>2858</v>
      </c>
    </row>
    <row r="13" customFormat="false" ht="23.85" hidden="false" customHeight="false" outlineLevel="0" collapsed="false">
      <c r="A13" s="3" t="s">
        <v>2859</v>
      </c>
      <c r="B13" s="4" t="s">
        <v>2860</v>
      </c>
    </row>
    <row r="14" customFormat="false" ht="23.85" hidden="false" customHeight="false" outlineLevel="0" collapsed="false">
      <c r="A14" s="3" t="s">
        <v>2861</v>
      </c>
      <c r="B14" s="4" t="s">
        <v>2862</v>
      </c>
    </row>
    <row r="15" customFormat="false" ht="35.05" hidden="false" customHeight="false" outlineLevel="0" collapsed="false">
      <c r="A15" s="3" t="s">
        <v>379</v>
      </c>
      <c r="B15" s="4" t="s">
        <v>2863</v>
      </c>
    </row>
    <row r="16" customFormat="false" ht="23.85" hidden="false" customHeight="false" outlineLevel="0" collapsed="false">
      <c r="A16" s="3" t="s">
        <v>2864</v>
      </c>
      <c r="B16" s="4" t="s">
        <v>2865</v>
      </c>
    </row>
    <row r="17" customFormat="false" ht="46.25" hidden="false" customHeight="false" outlineLevel="0" collapsed="false">
      <c r="A17" s="3" t="s">
        <v>2866</v>
      </c>
      <c r="B17" s="4" t="s">
        <v>2867</v>
      </c>
    </row>
    <row r="19" customFormat="false" ht="15" hidden="false" customHeight="false" outlineLevel="0" collapsed="false">
      <c r="A19" s="5" t="s">
        <v>2868</v>
      </c>
      <c r="B19" s="6"/>
      <c r="C19" s="6"/>
      <c r="D19" s="6"/>
      <c r="E19" s="6"/>
    </row>
    <row r="20" customFormat="false" ht="15" hidden="false" customHeight="false" outlineLevel="0" collapsed="false">
      <c r="A20" s="7" t="s">
        <v>2869</v>
      </c>
      <c r="B20" s="7" t="s">
        <v>2870</v>
      </c>
      <c r="C20" s="7" t="s">
        <v>2871</v>
      </c>
      <c r="D20" s="7" t="s">
        <v>2872</v>
      </c>
      <c r="E20" s="7" t="s">
        <v>2873</v>
      </c>
    </row>
    <row r="21" customFormat="false" ht="15" hidden="false" customHeight="false" outlineLevel="0" collapsed="false">
      <c r="A21" s="8" t="s">
        <v>2874</v>
      </c>
      <c r="B21" s="8" t="s">
        <v>2875</v>
      </c>
      <c r="C21" s="57" t="s">
        <v>2876</v>
      </c>
      <c r="D21" s="8" t="s">
        <v>2877</v>
      </c>
      <c r="E21" s="8"/>
    </row>
    <row r="22" customFormat="false" ht="23.85" hidden="false" customHeight="false" outlineLevel="0" collapsed="false">
      <c r="A22" s="9" t="s">
        <v>2878</v>
      </c>
      <c r="B22" s="9" t="s">
        <v>2879</v>
      </c>
      <c r="C22" s="60" t="s">
        <v>2880</v>
      </c>
      <c r="D22" s="9" t="s">
        <v>2881</v>
      </c>
      <c r="E22" s="9" t="s">
        <v>2882</v>
      </c>
    </row>
    <row r="23" customFormat="false" ht="15" hidden="false" customHeight="false" outlineLevel="0" collapsed="false">
      <c r="A23" s="8" t="s">
        <v>2883</v>
      </c>
      <c r="B23" s="8" t="s">
        <v>2884</v>
      </c>
      <c r="C23" s="60" t="s">
        <v>2880</v>
      </c>
      <c r="D23" s="8" t="s">
        <v>2885</v>
      </c>
      <c r="E23" s="8" t="s">
        <v>2886</v>
      </c>
    </row>
    <row r="24" customFormat="false" ht="15" hidden="false" customHeight="false" outlineLevel="0" collapsed="false">
      <c r="A24" s="9" t="s">
        <v>2887</v>
      </c>
      <c r="B24" s="9" t="s">
        <v>2888</v>
      </c>
      <c r="C24" s="60" t="s">
        <v>2880</v>
      </c>
      <c r="D24" s="9" t="s">
        <v>2889</v>
      </c>
      <c r="E24" s="9" t="s">
        <v>2890</v>
      </c>
    </row>
    <row r="25" customFormat="false" ht="15" hidden="false" customHeight="false" outlineLevel="0" collapsed="false">
      <c r="A25" s="8" t="s">
        <v>2891</v>
      </c>
      <c r="B25" s="8" t="s">
        <v>2892</v>
      </c>
      <c r="C25" s="57" t="s">
        <v>2876</v>
      </c>
      <c r="D25" s="8" t="s">
        <v>2893</v>
      </c>
      <c r="E25" s="8" t="s">
        <v>2894</v>
      </c>
    </row>
    <row r="26" customFormat="false" ht="23.85" hidden="false" customHeight="false" outlineLevel="0" collapsed="false">
      <c r="A26" s="9" t="s">
        <v>2895</v>
      </c>
      <c r="B26" s="9" t="s">
        <v>2896</v>
      </c>
      <c r="C26" s="60" t="s">
        <v>2880</v>
      </c>
      <c r="D26" s="9" t="s">
        <v>2897</v>
      </c>
      <c r="E26" s="9" t="s">
        <v>2894</v>
      </c>
    </row>
    <row r="27" customFormat="false" ht="15" hidden="false" customHeight="false" outlineLevel="0" collapsed="false">
      <c r="A27" s="8" t="s">
        <v>366</v>
      </c>
      <c r="B27" s="8" t="s">
        <v>2898</v>
      </c>
      <c r="C27" s="57" t="s">
        <v>2876</v>
      </c>
      <c r="D27" s="8" t="s">
        <v>2899</v>
      </c>
      <c r="E27" s="8" t="s">
        <v>2900</v>
      </c>
    </row>
    <row r="28" customFormat="false" ht="15" hidden="false" customHeight="false" outlineLevel="0" collapsed="false">
      <c r="A28" s="9" t="s">
        <v>2901</v>
      </c>
      <c r="B28" s="9" t="s">
        <v>2902</v>
      </c>
      <c r="C28" s="57" t="s">
        <v>2876</v>
      </c>
      <c r="D28" s="9" t="s">
        <v>2903</v>
      </c>
      <c r="E28" s="9" t="s">
        <v>2904</v>
      </c>
    </row>
    <row r="29" customFormat="false" ht="15" hidden="false" customHeight="false" outlineLevel="0" collapsed="false">
      <c r="A29" s="8" t="s">
        <v>2905</v>
      </c>
      <c r="B29" s="8" t="s">
        <v>2906</v>
      </c>
      <c r="C29" s="60" t="s">
        <v>2880</v>
      </c>
      <c r="D29" s="8" t="s">
        <v>2907</v>
      </c>
      <c r="E29" s="8" t="s">
        <v>2908</v>
      </c>
    </row>
    <row r="30" customFormat="false" ht="15" hidden="false" customHeight="false" outlineLevel="0" collapsed="false">
      <c r="A30" s="9" t="s">
        <v>2909</v>
      </c>
      <c r="B30" s="9" t="s">
        <v>2910</v>
      </c>
      <c r="C30" s="60" t="s">
        <v>2880</v>
      </c>
      <c r="D30" s="9" t="s">
        <v>2911</v>
      </c>
      <c r="E30" s="9" t="s">
        <v>2912</v>
      </c>
    </row>
    <row r="31" customFormat="false" ht="15" hidden="false" customHeight="false" outlineLevel="0" collapsed="false">
      <c r="A31" s="8" t="s">
        <v>2913</v>
      </c>
      <c r="B31" s="8" t="s">
        <v>2914</v>
      </c>
      <c r="C31" s="60" t="s">
        <v>2880</v>
      </c>
      <c r="D31" s="8" t="s">
        <v>2915</v>
      </c>
      <c r="E31" s="8" t="s">
        <v>2916</v>
      </c>
    </row>
    <row r="32" customFormat="false" ht="23.85" hidden="false" customHeight="false" outlineLevel="0" collapsed="false">
      <c r="A32" s="9" t="s">
        <v>2917</v>
      </c>
      <c r="B32" s="9" t="s">
        <v>2918</v>
      </c>
      <c r="C32" s="60" t="s">
        <v>2880</v>
      </c>
      <c r="D32" s="9" t="s">
        <v>2919</v>
      </c>
      <c r="E32" s="9" t="s">
        <v>2920</v>
      </c>
    </row>
    <row r="33" customFormat="false" ht="15" hidden="false" customHeight="false" outlineLevel="0" collapsed="false">
      <c r="A33" s="8" t="s">
        <v>2921</v>
      </c>
      <c r="B33" s="8" t="s">
        <v>2922</v>
      </c>
      <c r="C33" s="57" t="s">
        <v>2876</v>
      </c>
      <c r="D33" s="8" t="s">
        <v>2923</v>
      </c>
      <c r="E33" s="8" t="s">
        <v>2924</v>
      </c>
    </row>
    <row r="34" customFormat="false" ht="23.85" hidden="false" customHeight="false" outlineLevel="0" collapsed="false">
      <c r="A34" s="9" t="s">
        <v>2925</v>
      </c>
      <c r="B34" s="9" t="s">
        <v>2926</v>
      </c>
      <c r="C34" s="61" t="s">
        <v>2927</v>
      </c>
      <c r="D34" s="9" t="s">
        <v>2928</v>
      </c>
      <c r="E34" s="9"/>
    </row>
    <row r="35" customFormat="false" ht="15" hidden="false" customHeight="false" outlineLevel="0" collapsed="false">
      <c r="A35" s="8" t="s">
        <v>2929</v>
      </c>
      <c r="B35" s="8" t="s">
        <v>2926</v>
      </c>
      <c r="C35" s="61" t="s">
        <v>2927</v>
      </c>
      <c r="D35" s="8" t="s">
        <v>2930</v>
      </c>
      <c r="E35" s="8"/>
    </row>
    <row r="36" customFormat="false" ht="15" hidden="false" customHeight="false" outlineLevel="0" collapsed="false">
      <c r="A36" s="9" t="s">
        <v>2931</v>
      </c>
      <c r="B36" s="9" t="s">
        <v>2932</v>
      </c>
      <c r="C36" s="61" t="s">
        <v>2927</v>
      </c>
      <c r="D36" s="9" t="s">
        <v>2933</v>
      </c>
      <c r="E36" s="9"/>
    </row>
    <row r="37" customFormat="false" ht="23.85" hidden="false" customHeight="false" outlineLevel="0" collapsed="false">
      <c r="A37" s="8" t="s">
        <v>2934</v>
      </c>
      <c r="B37" s="8" t="s">
        <v>2935</v>
      </c>
      <c r="C37" s="61" t="s">
        <v>2927</v>
      </c>
      <c r="D37" s="8" t="s">
        <v>2936</v>
      </c>
      <c r="E37" s="8"/>
    </row>
    <row r="38" customFormat="false" ht="15" hidden="false" customHeight="false" outlineLevel="0" collapsed="false">
      <c r="A38" s="9" t="s">
        <v>2937</v>
      </c>
      <c r="B38" s="9" t="s">
        <v>2938</v>
      </c>
      <c r="C38" s="61" t="s">
        <v>2927</v>
      </c>
      <c r="D38" s="9" t="s">
        <v>2939</v>
      </c>
      <c r="E38" s="9"/>
    </row>
    <row r="39" customFormat="false" ht="15" hidden="false" customHeight="false" outlineLevel="0" collapsed="false">
      <c r="A39" s="8" t="s">
        <v>2940</v>
      </c>
      <c r="B39" s="8" t="s">
        <v>2941</v>
      </c>
      <c r="C39" s="61" t="s">
        <v>2927</v>
      </c>
      <c r="D39" s="8" t="s">
        <v>2942</v>
      </c>
      <c r="E39" s="8"/>
    </row>
    <row r="40" customFormat="false" ht="15" hidden="false" customHeight="false" outlineLevel="0" collapsed="false">
      <c r="A40" s="9" t="s">
        <v>2943</v>
      </c>
      <c r="B40" s="9" t="s">
        <v>312</v>
      </c>
      <c r="C40" s="61" t="s">
        <v>2927</v>
      </c>
      <c r="D40" s="9" t="s">
        <v>2944</v>
      </c>
      <c r="E40" s="9" t="s">
        <v>2945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50"/>
  </cols>
  <sheetData>
    <row r="1" customFormat="false" ht="19.7" hidden="false" customHeight="false" outlineLevel="0" collapsed="false">
      <c r="A1" s="1" t="s">
        <v>2946</v>
      </c>
    </row>
    <row r="3" customFormat="false" ht="15" hidden="false" customHeight="false" outlineLevel="0" collapsed="false">
      <c r="A3" s="5" t="s">
        <v>976</v>
      </c>
      <c r="B3" s="6"/>
      <c r="C3" s="6"/>
    </row>
    <row r="4" customFormat="false" ht="15" hidden="false" customHeight="false" outlineLevel="0" collapsed="false">
      <c r="A4" s="7" t="s">
        <v>2947</v>
      </c>
      <c r="B4" s="7" t="s">
        <v>1145</v>
      </c>
      <c r="C4" s="7" t="s">
        <v>2948</v>
      </c>
    </row>
    <row r="5" customFormat="false" ht="23.85" hidden="false" customHeight="false" outlineLevel="0" collapsed="false">
      <c r="A5" s="8" t="s">
        <v>2949</v>
      </c>
      <c r="B5" s="8" t="s">
        <v>2950</v>
      </c>
      <c r="C5" s="8" t="s">
        <v>2951</v>
      </c>
    </row>
    <row r="6" customFormat="false" ht="15" hidden="false" customHeight="false" outlineLevel="0" collapsed="false">
      <c r="A6" s="9" t="s">
        <v>1268</v>
      </c>
      <c r="B6" s="9" t="s">
        <v>2952</v>
      </c>
      <c r="C6" s="9" t="s">
        <v>2953</v>
      </c>
    </row>
    <row r="7" customFormat="false" ht="23.85" hidden="false" customHeight="false" outlineLevel="0" collapsed="false">
      <c r="A7" s="8" t="s">
        <v>2954</v>
      </c>
      <c r="B7" s="8" t="s">
        <v>2955</v>
      </c>
      <c r="C7" s="8" t="s">
        <v>2956</v>
      </c>
    </row>
    <row r="8" customFormat="false" ht="15" hidden="false" customHeight="false" outlineLevel="0" collapsed="false">
      <c r="A8" s="9" t="s">
        <v>2957</v>
      </c>
      <c r="B8" s="9" t="s">
        <v>2958</v>
      </c>
      <c r="C8" s="9" t="s">
        <v>2959</v>
      </c>
    </row>
    <row r="9" customFormat="false" ht="23.85" hidden="false" customHeight="false" outlineLevel="0" collapsed="false">
      <c r="A9" s="3" t="s">
        <v>2960</v>
      </c>
      <c r="B9" s="4" t="s">
        <v>2961</v>
      </c>
    </row>
    <row r="11" customFormat="false" ht="15" hidden="false" customHeight="false" outlineLevel="0" collapsed="false">
      <c r="A11" s="5" t="s">
        <v>2962</v>
      </c>
      <c r="B11" s="6"/>
      <c r="C11" s="6"/>
    </row>
    <row r="12" customFormat="false" ht="15" hidden="false" customHeight="false" outlineLevel="0" collapsed="false">
      <c r="A12" s="3" t="s">
        <v>2963</v>
      </c>
      <c r="B12" s="4" t="s">
        <v>2964</v>
      </c>
    </row>
    <row r="13" customFormat="false" ht="15" hidden="false" customHeight="false" outlineLevel="0" collapsed="false">
      <c r="A13" s="3" t="s">
        <v>390</v>
      </c>
      <c r="B13" s="4" t="s">
        <v>2965</v>
      </c>
    </row>
    <row r="14" customFormat="false" ht="35.05" hidden="false" customHeight="false" outlineLevel="0" collapsed="false">
      <c r="A14" s="3" t="s">
        <v>2966</v>
      </c>
      <c r="B14" s="4" t="s">
        <v>2967</v>
      </c>
    </row>
    <row r="15" customFormat="false" ht="23.85" hidden="false" customHeight="false" outlineLevel="0" collapsed="false">
      <c r="A15" s="3" t="s">
        <v>2968</v>
      </c>
      <c r="B15" s="4" t="s">
        <v>2969</v>
      </c>
    </row>
    <row r="16" customFormat="false" ht="15" hidden="false" customHeight="false" outlineLevel="0" collapsed="false">
      <c r="A16" s="3" t="s">
        <v>2970</v>
      </c>
      <c r="B16" s="4" t="s">
        <v>2971</v>
      </c>
    </row>
    <row r="17" customFormat="false" ht="35.05" hidden="false" customHeight="false" outlineLevel="0" collapsed="false">
      <c r="A17" s="3" t="s">
        <v>993</v>
      </c>
      <c r="B17" s="4" t="s">
        <v>2972</v>
      </c>
    </row>
    <row r="19" customFormat="false" ht="15" hidden="false" customHeight="false" outlineLevel="0" collapsed="false">
      <c r="A19" s="5" t="s">
        <v>2973</v>
      </c>
      <c r="B19" s="6"/>
      <c r="C19" s="6"/>
    </row>
    <row r="20" customFormat="false" ht="15" hidden="false" customHeight="false" outlineLevel="0" collapsed="false">
      <c r="A20" s="7" t="s">
        <v>2404</v>
      </c>
      <c r="B20" s="7" t="s">
        <v>2974</v>
      </c>
    </row>
    <row r="21" customFormat="false" ht="23.85" hidden="false" customHeight="false" outlineLevel="0" collapsed="false">
      <c r="A21" s="8" t="s">
        <v>2975</v>
      </c>
      <c r="B21" s="8" t="s">
        <v>2976</v>
      </c>
    </row>
    <row r="22" customFormat="false" ht="23.85" hidden="false" customHeight="false" outlineLevel="0" collapsed="false">
      <c r="A22" s="9" t="s">
        <v>2977</v>
      </c>
      <c r="B22" s="9" t="s">
        <v>2978</v>
      </c>
    </row>
    <row r="23" customFormat="false" ht="23.85" hidden="false" customHeight="false" outlineLevel="0" collapsed="false">
      <c r="A23" s="8" t="s">
        <v>2979</v>
      </c>
      <c r="B23" s="8" t="s">
        <v>2980</v>
      </c>
    </row>
    <row r="24" customFormat="false" ht="15" hidden="false" customHeight="false" outlineLevel="0" collapsed="false">
      <c r="A24" s="9" t="s">
        <v>2981</v>
      </c>
      <c r="B24" s="9" t="s">
        <v>2982</v>
      </c>
    </row>
    <row r="25" customFormat="false" ht="15" hidden="false" customHeight="false" outlineLevel="0" collapsed="false">
      <c r="A25" s="8" t="s">
        <v>2983</v>
      </c>
      <c r="B25" s="8" t="s">
        <v>2984</v>
      </c>
    </row>
    <row r="26" customFormat="false" ht="15" hidden="false" customHeight="false" outlineLevel="0" collapsed="false">
      <c r="A26" s="9" t="s">
        <v>2985</v>
      </c>
      <c r="B26" s="9" t="s">
        <v>2986</v>
      </c>
    </row>
    <row r="28" customFormat="false" ht="23.85" hidden="false" customHeight="false" outlineLevel="0" collapsed="false">
      <c r="A28" s="3" t="s">
        <v>2987</v>
      </c>
      <c r="B28" s="4" t="s">
        <v>2988</v>
      </c>
    </row>
    <row r="30" customFormat="false" ht="15" hidden="false" customHeight="false" outlineLevel="0" collapsed="false">
      <c r="A30" s="5" t="s">
        <v>2989</v>
      </c>
      <c r="B30" s="6"/>
      <c r="C30" s="6"/>
    </row>
    <row r="31" customFormat="false" ht="15" hidden="false" customHeight="false" outlineLevel="0" collapsed="false">
      <c r="A31" s="7" t="s">
        <v>2990</v>
      </c>
      <c r="B31" s="7" t="s">
        <v>2374</v>
      </c>
      <c r="C31" s="7" t="s">
        <v>2991</v>
      </c>
    </row>
    <row r="32" customFormat="false" ht="15" hidden="false" customHeight="false" outlineLevel="0" collapsed="false">
      <c r="A32" s="8" t="s">
        <v>2992</v>
      </c>
      <c r="B32" s="8" t="s">
        <v>2993</v>
      </c>
      <c r="C32" s="8" t="s">
        <v>2994</v>
      </c>
    </row>
    <row r="33" customFormat="false" ht="15" hidden="false" customHeight="false" outlineLevel="0" collapsed="false">
      <c r="A33" s="9" t="s">
        <v>2995</v>
      </c>
      <c r="B33" s="9" t="s">
        <v>2996</v>
      </c>
      <c r="C33" s="9" t="s">
        <v>2997</v>
      </c>
    </row>
    <row r="34" customFormat="false" ht="15" hidden="false" customHeight="false" outlineLevel="0" collapsed="false">
      <c r="A34" s="8" t="s">
        <v>2998</v>
      </c>
      <c r="B34" s="8" t="s">
        <v>2999</v>
      </c>
      <c r="C34" s="8" t="s">
        <v>3000</v>
      </c>
    </row>
    <row r="35" customFormat="false" ht="15" hidden="false" customHeight="false" outlineLevel="0" collapsed="false">
      <c r="A35" s="9" t="s">
        <v>3001</v>
      </c>
      <c r="B35" s="9" t="s">
        <v>3002</v>
      </c>
      <c r="C35" s="9" t="s">
        <v>3003</v>
      </c>
    </row>
    <row r="37" customFormat="false" ht="23.85" hidden="false" customHeight="false" outlineLevel="0" collapsed="false">
      <c r="A37" s="3" t="s">
        <v>3004</v>
      </c>
      <c r="B37" s="4" t="s">
        <v>3005</v>
      </c>
    </row>
    <row r="38" customFormat="false" ht="23.85" hidden="false" customHeight="false" outlineLevel="0" collapsed="false">
      <c r="A38" s="3" t="s">
        <v>3006</v>
      </c>
      <c r="B38" s="4" t="s">
        <v>3007</v>
      </c>
    </row>
    <row r="39" customFormat="false" ht="23.85" hidden="false" customHeight="false" outlineLevel="0" collapsed="false">
      <c r="A39" s="3" t="s">
        <v>3008</v>
      </c>
      <c r="B39" s="4" t="s">
        <v>3009</v>
      </c>
    </row>
    <row r="40" customFormat="false" ht="15" hidden="false" customHeight="false" outlineLevel="0" collapsed="false">
      <c r="A40" s="3" t="s">
        <v>3010</v>
      </c>
      <c r="B40" s="4" t="s">
        <v>3011</v>
      </c>
    </row>
    <row r="42" customFormat="false" ht="23.85" hidden="false" customHeight="false" outlineLevel="0" collapsed="false">
      <c r="A42" s="3" t="s">
        <v>325</v>
      </c>
      <c r="B42" s="4" t="s">
        <v>3012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34"/>
    <col collapsed="false" customWidth="true" hidden="false" outlineLevel="0" max="4" min="4" style="0" width="110"/>
  </cols>
  <sheetData>
    <row r="1" customFormat="false" ht="19.7" hidden="false" customHeight="false" outlineLevel="0" collapsed="false">
      <c r="A1" s="1" t="s">
        <v>3013</v>
      </c>
    </row>
    <row r="2" customFormat="false" ht="15" hidden="false" customHeight="false" outlineLevel="0" collapsed="false">
      <c r="A2" s="2" t="s">
        <v>3014</v>
      </c>
    </row>
    <row r="3" customFormat="false" ht="15" hidden="false" customHeight="false" outlineLevel="0" collapsed="false">
      <c r="A3" s="7" t="s">
        <v>124</v>
      </c>
      <c r="B3" s="7" t="s">
        <v>3015</v>
      </c>
      <c r="C3" s="7" t="s">
        <v>1426</v>
      </c>
      <c r="D3" s="7" t="s">
        <v>3016</v>
      </c>
    </row>
    <row r="4" customFormat="false" ht="35.05" hidden="false" customHeight="false" outlineLevel="0" collapsed="false">
      <c r="A4" s="8" t="s">
        <v>2945</v>
      </c>
      <c r="B4" s="8" t="s">
        <v>3017</v>
      </c>
      <c r="C4" s="8" t="s">
        <v>3018</v>
      </c>
      <c r="D4" s="8" t="s">
        <v>3019</v>
      </c>
    </row>
    <row r="5" customFormat="false" ht="15" hidden="false" customHeight="false" outlineLevel="0" collapsed="false">
      <c r="A5" s="9" t="s">
        <v>3020</v>
      </c>
      <c r="B5" s="9" t="s">
        <v>3021</v>
      </c>
      <c r="C5" s="9" t="s">
        <v>3022</v>
      </c>
      <c r="D5" s="9" t="s">
        <v>3023</v>
      </c>
    </row>
    <row r="6" customFormat="false" ht="15" hidden="false" customHeight="false" outlineLevel="0" collapsed="false">
      <c r="A6" s="8" t="s">
        <v>2900</v>
      </c>
      <c r="B6" s="8" t="s">
        <v>366</v>
      </c>
      <c r="C6" s="8" t="s">
        <v>3024</v>
      </c>
      <c r="D6" s="8" t="s">
        <v>3025</v>
      </c>
    </row>
    <row r="7" customFormat="false" ht="15" hidden="false" customHeight="false" outlineLevel="0" collapsed="false">
      <c r="A7" s="9" t="s">
        <v>2894</v>
      </c>
      <c r="B7" s="9" t="s">
        <v>3026</v>
      </c>
      <c r="C7" s="9" t="s">
        <v>3027</v>
      </c>
      <c r="D7" s="9" t="s">
        <v>3028</v>
      </c>
    </row>
    <row r="8" customFormat="false" ht="15" hidden="false" customHeight="false" outlineLevel="0" collapsed="false">
      <c r="A8" s="8" t="s">
        <v>2882</v>
      </c>
      <c r="B8" s="8" t="s">
        <v>3029</v>
      </c>
      <c r="C8" s="8" t="s">
        <v>3030</v>
      </c>
      <c r="D8" s="8" t="s">
        <v>3031</v>
      </c>
    </row>
    <row r="9" customFormat="false" ht="15" hidden="false" customHeight="false" outlineLevel="0" collapsed="false">
      <c r="A9" s="9" t="s">
        <v>2886</v>
      </c>
      <c r="B9" s="9" t="s">
        <v>3032</v>
      </c>
      <c r="C9" s="9" t="s">
        <v>3033</v>
      </c>
      <c r="D9" s="9" t="s">
        <v>3034</v>
      </c>
    </row>
    <row r="10" customFormat="false" ht="15" hidden="false" customHeight="false" outlineLevel="0" collapsed="false">
      <c r="A10" s="8" t="s">
        <v>2890</v>
      </c>
      <c r="B10" s="8" t="s">
        <v>3035</v>
      </c>
      <c r="C10" s="8" t="s">
        <v>3036</v>
      </c>
      <c r="D10" s="8" t="s">
        <v>3037</v>
      </c>
    </row>
    <row r="11" customFormat="false" ht="23.85" hidden="false" customHeight="false" outlineLevel="0" collapsed="false">
      <c r="A11" s="9" t="s">
        <v>3038</v>
      </c>
      <c r="B11" s="9" t="s">
        <v>3039</v>
      </c>
      <c r="C11" s="9" t="s">
        <v>3040</v>
      </c>
      <c r="D11" s="9" t="s">
        <v>3041</v>
      </c>
    </row>
    <row r="12" customFormat="false" ht="15" hidden="false" customHeight="false" outlineLevel="0" collapsed="false">
      <c r="A12" s="8" t="s">
        <v>2916</v>
      </c>
      <c r="B12" s="8" t="s">
        <v>3042</v>
      </c>
      <c r="C12" s="8" t="s">
        <v>3043</v>
      </c>
      <c r="D12" s="8" t="s">
        <v>3044</v>
      </c>
    </row>
    <row r="13" customFormat="false" ht="15" hidden="false" customHeight="false" outlineLevel="0" collapsed="false">
      <c r="A13" s="9" t="s">
        <v>3045</v>
      </c>
      <c r="B13" s="9" t="s">
        <v>3046</v>
      </c>
      <c r="C13" s="9" t="s">
        <v>2152</v>
      </c>
      <c r="D13" s="9" t="s">
        <v>3047</v>
      </c>
    </row>
    <row r="14" customFormat="false" ht="15" hidden="false" customHeight="false" outlineLevel="0" collapsed="false">
      <c r="A14" s="8" t="s">
        <v>3048</v>
      </c>
      <c r="B14" s="8" t="s">
        <v>893</v>
      </c>
      <c r="C14" s="8" t="s">
        <v>3049</v>
      </c>
      <c r="D14" s="8" t="s">
        <v>3050</v>
      </c>
    </row>
    <row r="15" customFormat="false" ht="15" hidden="false" customHeight="false" outlineLevel="0" collapsed="false">
      <c r="A15" s="9" t="s">
        <v>2912</v>
      </c>
      <c r="B15" s="9" t="s">
        <v>3051</v>
      </c>
      <c r="C15" s="9" t="s">
        <v>3052</v>
      </c>
      <c r="D15" s="9" t="s">
        <v>3053</v>
      </c>
    </row>
    <row r="16" customFormat="false" ht="15" hidden="false" customHeight="false" outlineLevel="0" collapsed="false">
      <c r="A16" s="8" t="s">
        <v>3054</v>
      </c>
      <c r="B16" s="8" t="s">
        <v>3055</v>
      </c>
      <c r="C16" s="8" t="s">
        <v>3056</v>
      </c>
      <c r="D16" s="8" t="s">
        <v>3057</v>
      </c>
    </row>
    <row r="17" customFormat="false" ht="15" hidden="false" customHeight="false" outlineLevel="0" collapsed="false">
      <c r="A17" s="9" t="s">
        <v>2904</v>
      </c>
      <c r="B17" s="9" t="s">
        <v>3058</v>
      </c>
      <c r="C17" s="9" t="s">
        <v>2901</v>
      </c>
      <c r="D17" s="9" t="s">
        <v>3059</v>
      </c>
    </row>
    <row r="18" customFormat="false" ht="15" hidden="false" customHeight="false" outlineLevel="0" collapsed="false">
      <c r="A18" s="8" t="s">
        <v>2908</v>
      </c>
      <c r="B18" s="8" t="s">
        <v>2905</v>
      </c>
      <c r="C18" s="8" t="s">
        <v>3060</v>
      </c>
      <c r="D18" s="8" t="s">
        <v>3061</v>
      </c>
    </row>
    <row r="19" customFormat="false" ht="23.85" hidden="false" customHeight="false" outlineLevel="0" collapsed="false">
      <c r="A19" s="9" t="s">
        <v>3062</v>
      </c>
      <c r="B19" s="9" t="s">
        <v>3063</v>
      </c>
      <c r="C19" s="9" t="s">
        <v>3064</v>
      </c>
      <c r="D19" s="9" t="s">
        <v>3065</v>
      </c>
    </row>
    <row r="20" customFormat="false" ht="15" hidden="false" customHeight="false" outlineLevel="0" collapsed="false">
      <c r="A20" s="8" t="s">
        <v>2920</v>
      </c>
      <c r="B20" s="8" t="s">
        <v>3066</v>
      </c>
      <c r="C20" s="8" t="s">
        <v>3067</v>
      </c>
      <c r="D20" s="8" t="s">
        <v>3068</v>
      </c>
    </row>
    <row r="21" customFormat="false" ht="15" hidden="false" customHeight="false" outlineLevel="0" collapsed="false">
      <c r="A21" s="9" t="s">
        <v>3069</v>
      </c>
      <c r="B21" s="9" t="s">
        <v>1189</v>
      </c>
      <c r="C21" s="9" t="s">
        <v>3070</v>
      </c>
      <c r="D21" s="9" t="s">
        <v>3071</v>
      </c>
    </row>
    <row r="22" customFormat="false" ht="15" hidden="false" customHeight="false" outlineLevel="0" collapsed="false">
      <c r="A22" s="8" t="s">
        <v>2924</v>
      </c>
      <c r="B22" s="8" t="s">
        <v>3072</v>
      </c>
      <c r="C22" s="8" t="s">
        <v>3073</v>
      </c>
      <c r="D22" s="8" t="s">
        <v>3074</v>
      </c>
    </row>
    <row r="23" customFormat="false" ht="15" hidden="false" customHeight="false" outlineLevel="0" collapsed="false">
      <c r="A23" s="9" t="s">
        <v>3075</v>
      </c>
      <c r="B23" s="9" t="s">
        <v>1138</v>
      </c>
      <c r="C23" s="9" t="s">
        <v>3076</v>
      </c>
      <c r="D23" s="9" t="s">
        <v>3077</v>
      </c>
    </row>
    <row r="24" customFormat="false" ht="15" hidden="false" customHeight="false" outlineLevel="0" collapsed="false">
      <c r="A24" s="8" t="s">
        <v>3078</v>
      </c>
      <c r="B24" s="8" t="s">
        <v>3079</v>
      </c>
      <c r="C24" s="8" t="s">
        <v>719</v>
      </c>
      <c r="D24" s="8" t="s">
        <v>3080</v>
      </c>
    </row>
    <row r="25" customFormat="false" ht="35.05" hidden="false" customHeight="false" outlineLevel="0" collapsed="false">
      <c r="A25" s="9" t="s">
        <v>3081</v>
      </c>
      <c r="B25" s="9" t="s">
        <v>3082</v>
      </c>
      <c r="C25" s="9" t="s">
        <v>3083</v>
      </c>
      <c r="D25" s="9" t="s">
        <v>3084</v>
      </c>
    </row>
    <row r="26" customFormat="false" ht="15" hidden="false" customHeight="false" outlineLevel="0" collapsed="false">
      <c r="A26" s="8" t="s">
        <v>3085</v>
      </c>
      <c r="B26" s="8" t="s">
        <v>3086</v>
      </c>
      <c r="C26" s="8" t="s">
        <v>3087</v>
      </c>
      <c r="D26" s="8" t="s">
        <v>3088</v>
      </c>
    </row>
    <row r="27" customFormat="false" ht="23.85" hidden="false" customHeight="false" outlineLevel="0" collapsed="false">
      <c r="A27" s="9" t="s">
        <v>3089</v>
      </c>
      <c r="B27" s="9" t="s">
        <v>3008</v>
      </c>
      <c r="C27" s="9" t="s">
        <v>3090</v>
      </c>
      <c r="D27" s="9" t="s">
        <v>3091</v>
      </c>
    </row>
    <row r="28" customFormat="false" ht="15" hidden="false" customHeight="false" outlineLevel="0" collapsed="false">
      <c r="A28" s="8" t="s">
        <v>3092</v>
      </c>
      <c r="B28" s="8" t="s">
        <v>3093</v>
      </c>
      <c r="C28" s="8" t="s">
        <v>3094</v>
      </c>
      <c r="D28" s="8" t="s">
        <v>3095</v>
      </c>
    </row>
    <row r="29" customFormat="false" ht="15" hidden="false" customHeight="false" outlineLevel="0" collapsed="false">
      <c r="A29" s="9" t="s">
        <v>3096</v>
      </c>
      <c r="B29" s="9" t="s">
        <v>850</v>
      </c>
      <c r="C29" s="9" t="s">
        <v>3097</v>
      </c>
      <c r="D29" s="9" t="s">
        <v>3098</v>
      </c>
    </row>
    <row r="30" customFormat="false" ht="15" hidden="false" customHeight="false" outlineLevel="0" collapsed="false">
      <c r="A30" s="8" t="s">
        <v>3099</v>
      </c>
      <c r="B30" s="8" t="s">
        <v>3100</v>
      </c>
      <c r="C30" s="8" t="s">
        <v>3101</v>
      </c>
      <c r="D30" s="8" t="s">
        <v>3102</v>
      </c>
    </row>
    <row r="31" customFormat="false" ht="15" hidden="false" customHeight="false" outlineLevel="0" collapsed="false">
      <c r="A31" s="9" t="s">
        <v>3103</v>
      </c>
      <c r="B31" s="9" t="s">
        <v>984</v>
      </c>
      <c r="C31" s="9" t="s">
        <v>3104</v>
      </c>
      <c r="D31" s="9" t="s">
        <v>3105</v>
      </c>
    </row>
    <row r="32" customFormat="false" ht="15" hidden="false" customHeight="false" outlineLevel="0" collapsed="false">
      <c r="A32" s="8" t="s">
        <v>3106</v>
      </c>
      <c r="B32" s="8" t="s">
        <v>988</v>
      </c>
      <c r="C32" s="8" t="s">
        <v>3104</v>
      </c>
      <c r="D32" s="8" t="s">
        <v>3107</v>
      </c>
    </row>
    <row r="33" customFormat="false" ht="15" hidden="false" customHeight="false" outlineLevel="0" collapsed="false">
      <c r="A33" s="9" t="s">
        <v>3108</v>
      </c>
      <c r="B33" s="9" t="s">
        <v>745</v>
      </c>
      <c r="C33" s="9" t="s">
        <v>3109</v>
      </c>
      <c r="D33" s="9" t="s">
        <v>3110</v>
      </c>
    </row>
    <row r="34" customFormat="false" ht="15" hidden="false" customHeight="false" outlineLevel="0" collapsed="false">
      <c r="A34" s="8" t="s">
        <v>3111</v>
      </c>
      <c r="B34" s="8" t="s">
        <v>3112</v>
      </c>
      <c r="C34" s="8" t="s">
        <v>3113</v>
      </c>
      <c r="D34" s="8" t="s">
        <v>3114</v>
      </c>
    </row>
    <row r="35" customFormat="false" ht="15" hidden="false" customHeight="false" outlineLevel="0" collapsed="false">
      <c r="A35" s="9" t="s">
        <v>3115</v>
      </c>
      <c r="B35" s="9" t="s">
        <v>3116</v>
      </c>
      <c r="C35" s="9" t="s">
        <v>3117</v>
      </c>
      <c r="D35" s="9" t="s">
        <v>3118</v>
      </c>
    </row>
    <row r="36" customFormat="false" ht="15" hidden="false" customHeight="false" outlineLevel="0" collapsed="false">
      <c r="A36" s="8" t="s">
        <v>3119</v>
      </c>
      <c r="B36" s="8" t="s">
        <v>3120</v>
      </c>
      <c r="C36" s="8" t="s">
        <v>3121</v>
      </c>
      <c r="D36" s="8" t="s">
        <v>3122</v>
      </c>
    </row>
    <row r="37" customFormat="false" ht="15" hidden="false" customHeight="false" outlineLevel="0" collapsed="false">
      <c r="A37" s="9" t="s">
        <v>3123</v>
      </c>
      <c r="B37" s="9" t="s">
        <v>3124</v>
      </c>
      <c r="C37" s="9" t="s">
        <v>3125</v>
      </c>
      <c r="D37" s="9" t="s">
        <v>3126</v>
      </c>
    </row>
    <row r="38" customFormat="false" ht="15" hidden="false" customHeight="false" outlineLevel="0" collapsed="false">
      <c r="A38" s="8" t="s">
        <v>3127</v>
      </c>
      <c r="B38" s="8" t="s">
        <v>3128</v>
      </c>
      <c r="C38" s="8" t="s">
        <v>3129</v>
      </c>
      <c r="D38" s="8" t="s">
        <v>3130</v>
      </c>
    </row>
    <row r="40" customFormat="false" ht="15" hidden="false" customHeight="false" outlineLevel="0" collapsed="false">
      <c r="A40" s="5" t="s">
        <v>3131</v>
      </c>
      <c r="B40" s="6"/>
      <c r="C40" s="6"/>
      <c r="D40" s="6"/>
    </row>
    <row r="41" customFormat="false" ht="15" hidden="false" customHeight="false" outlineLevel="0" collapsed="false">
      <c r="A41" s="7" t="s">
        <v>124</v>
      </c>
      <c r="B41" s="7" t="s">
        <v>1962</v>
      </c>
      <c r="C41" s="7" t="s">
        <v>1961</v>
      </c>
      <c r="D41" s="7" t="s">
        <v>3132</v>
      </c>
    </row>
    <row r="42" customFormat="false" ht="15" hidden="false" customHeight="false" outlineLevel="0" collapsed="false">
      <c r="A42" s="8" t="s">
        <v>3133</v>
      </c>
      <c r="B42" s="8" t="s">
        <v>3134</v>
      </c>
      <c r="C42" s="8" t="s">
        <v>3135</v>
      </c>
      <c r="D42" s="8" t="s">
        <v>3136</v>
      </c>
    </row>
    <row r="43" customFormat="false" ht="15" hidden="false" customHeight="false" outlineLevel="0" collapsed="false">
      <c r="A43" s="9" t="s">
        <v>3137</v>
      </c>
      <c r="B43" s="9" t="s">
        <v>3138</v>
      </c>
      <c r="C43" s="9" t="s">
        <v>3139</v>
      </c>
      <c r="D43" s="9" t="s">
        <v>3140</v>
      </c>
    </row>
    <row r="44" customFormat="false" ht="15" hidden="false" customHeight="false" outlineLevel="0" collapsed="false">
      <c r="A44" s="8" t="s">
        <v>3141</v>
      </c>
      <c r="B44" s="8" t="s">
        <v>3142</v>
      </c>
      <c r="C44" s="8" t="s">
        <v>3135</v>
      </c>
      <c r="D44" s="8" t="s">
        <v>3143</v>
      </c>
    </row>
    <row r="45" customFormat="false" ht="15" hidden="false" customHeight="false" outlineLevel="0" collapsed="false">
      <c r="A45" s="9" t="s">
        <v>3144</v>
      </c>
      <c r="B45" s="9" t="s">
        <v>3145</v>
      </c>
      <c r="C45" s="9" t="s">
        <v>2945</v>
      </c>
      <c r="D45" s="9" t="s">
        <v>3146</v>
      </c>
    </row>
    <row r="46" customFormat="false" ht="15" hidden="false" customHeight="false" outlineLevel="0" collapsed="false">
      <c r="A46" s="8" t="s">
        <v>3147</v>
      </c>
      <c r="B46" s="8" t="s">
        <v>3148</v>
      </c>
      <c r="C46" s="8" t="s">
        <v>3123</v>
      </c>
      <c r="D46" s="8" t="s">
        <v>3149</v>
      </c>
    </row>
    <row r="47" customFormat="false" ht="15" hidden="false" customHeight="false" outlineLevel="0" collapsed="false">
      <c r="A47" s="9" t="s">
        <v>3150</v>
      </c>
      <c r="B47" s="9" t="s">
        <v>259</v>
      </c>
      <c r="C47" s="9" t="s">
        <v>3151</v>
      </c>
      <c r="D47" s="9" t="s">
        <v>3152</v>
      </c>
    </row>
    <row r="49" customFormat="false" ht="15" hidden="false" customHeight="false" outlineLevel="0" collapsed="false">
      <c r="A49" s="5" t="s">
        <v>3153</v>
      </c>
      <c r="B49" s="6"/>
      <c r="C49" s="6"/>
      <c r="D49" s="6"/>
    </row>
    <row r="50" customFormat="false" ht="15" hidden="false" customHeight="false" outlineLevel="0" collapsed="false">
      <c r="A50" s="7" t="s">
        <v>124</v>
      </c>
      <c r="B50" s="7" t="s">
        <v>3154</v>
      </c>
      <c r="C50" s="7" t="s">
        <v>3155</v>
      </c>
      <c r="D50" s="7" t="s">
        <v>3156</v>
      </c>
    </row>
    <row r="51" customFormat="false" ht="15" hidden="false" customHeight="false" outlineLevel="0" collapsed="false">
      <c r="A51" s="8" t="s">
        <v>3157</v>
      </c>
      <c r="B51" s="8" t="s">
        <v>3158</v>
      </c>
      <c r="C51" s="8" t="s">
        <v>2945</v>
      </c>
      <c r="D51" s="8" t="s">
        <v>3018</v>
      </c>
    </row>
    <row r="52" customFormat="false" ht="15" hidden="false" customHeight="false" outlineLevel="0" collapsed="false">
      <c r="A52" s="9" t="s">
        <v>3159</v>
      </c>
      <c r="B52" s="9" t="s">
        <v>719</v>
      </c>
      <c r="C52" s="9" t="s">
        <v>3078</v>
      </c>
      <c r="D52" s="9" t="s">
        <v>3160</v>
      </c>
    </row>
    <row r="53" customFormat="false" ht="15" hidden="false" customHeight="false" outlineLevel="0" collapsed="false">
      <c r="A53" s="8" t="s">
        <v>3161</v>
      </c>
      <c r="B53" s="8" t="s">
        <v>726</v>
      </c>
      <c r="C53" s="8" t="s">
        <v>3020</v>
      </c>
      <c r="D53" s="8" t="s">
        <v>3162</v>
      </c>
    </row>
    <row r="54" customFormat="false" ht="15" hidden="false" customHeight="false" outlineLevel="0" collapsed="false">
      <c r="A54" s="9" t="s">
        <v>3163</v>
      </c>
      <c r="B54" s="9" t="s">
        <v>3056</v>
      </c>
      <c r="C54" s="9" t="s">
        <v>3164</v>
      </c>
      <c r="D54" s="9" t="s">
        <v>3165</v>
      </c>
    </row>
    <row r="55" customFormat="false" ht="15" hidden="false" customHeight="false" outlineLevel="0" collapsed="false">
      <c r="A55" s="8" t="s">
        <v>3166</v>
      </c>
      <c r="B55" s="8" t="s">
        <v>3167</v>
      </c>
      <c r="C55" s="8" t="s">
        <v>3089</v>
      </c>
      <c r="D55" s="8" t="s">
        <v>3168</v>
      </c>
    </row>
    <row r="56" customFormat="false" ht="15" hidden="false" customHeight="false" outlineLevel="0" collapsed="false">
      <c r="A56" s="9" t="s">
        <v>3169</v>
      </c>
      <c r="B56" s="9" t="s">
        <v>2144</v>
      </c>
      <c r="C56" s="9" t="s">
        <v>3170</v>
      </c>
      <c r="D56" s="9" t="s">
        <v>3171</v>
      </c>
    </row>
    <row r="57" customFormat="false" ht="15" hidden="false" customHeight="false" outlineLevel="0" collapsed="false">
      <c r="A57" s="8" t="s">
        <v>3172</v>
      </c>
      <c r="B57" s="8" t="s">
        <v>2148</v>
      </c>
      <c r="C57" s="8" t="s">
        <v>3173</v>
      </c>
      <c r="D57" s="8" t="s">
        <v>3174</v>
      </c>
    </row>
    <row r="58" customFormat="false" ht="15" hidden="false" customHeight="false" outlineLevel="0" collapsed="false">
      <c r="A58" s="9" t="s">
        <v>3175</v>
      </c>
      <c r="B58" s="9" t="s">
        <v>3176</v>
      </c>
      <c r="C58" s="9" t="s">
        <v>3177</v>
      </c>
      <c r="D58" s="9" t="s">
        <v>3178</v>
      </c>
    </row>
    <row r="59" customFormat="false" ht="15" hidden="false" customHeight="false" outlineLevel="0" collapsed="false">
      <c r="A59" s="8" t="s">
        <v>3179</v>
      </c>
      <c r="B59" s="8" t="s">
        <v>984</v>
      </c>
      <c r="C59" s="8" t="s">
        <v>3103</v>
      </c>
      <c r="D59" s="8" t="s">
        <v>3180</v>
      </c>
    </row>
    <row r="60" customFormat="false" ht="15" hidden="false" customHeight="false" outlineLevel="0" collapsed="false">
      <c r="A60" s="9" t="s">
        <v>3181</v>
      </c>
      <c r="B60" s="9" t="s">
        <v>988</v>
      </c>
      <c r="C60" s="9" t="s">
        <v>3106</v>
      </c>
      <c r="D60" s="9" t="s">
        <v>3180</v>
      </c>
    </row>
    <row r="61" customFormat="false" ht="15" hidden="false" customHeight="false" outlineLevel="0" collapsed="false">
      <c r="A61" s="8" t="s">
        <v>3182</v>
      </c>
      <c r="B61" s="8" t="s">
        <v>3183</v>
      </c>
      <c r="C61" s="8" t="s">
        <v>2900</v>
      </c>
      <c r="D61" s="8" t="s">
        <v>3184</v>
      </c>
    </row>
    <row r="62" customFormat="false" ht="15" hidden="false" customHeight="false" outlineLevel="0" collapsed="false">
      <c r="A62" s="9" t="s">
        <v>3185</v>
      </c>
      <c r="B62" s="9" t="s">
        <v>2152</v>
      </c>
      <c r="C62" s="9" t="s">
        <v>3186</v>
      </c>
      <c r="D62" s="9" t="s">
        <v>3187</v>
      </c>
    </row>
    <row r="63" customFormat="false" ht="15" hidden="false" customHeight="false" outlineLevel="0" collapsed="false">
      <c r="A63" s="8" t="s">
        <v>3188</v>
      </c>
      <c r="B63" s="8" t="s">
        <v>3189</v>
      </c>
      <c r="C63" s="8" t="s">
        <v>3190</v>
      </c>
      <c r="D63" s="8" t="s">
        <v>3191</v>
      </c>
    </row>
    <row r="64" customFormat="false" ht="23.85" hidden="false" customHeight="false" outlineLevel="0" collapsed="false">
      <c r="A64" s="9" t="s">
        <v>3192</v>
      </c>
      <c r="B64" s="9" t="s">
        <v>3193</v>
      </c>
      <c r="C64" s="9" t="s">
        <v>3194</v>
      </c>
      <c r="D64" s="9" t="s">
        <v>3195</v>
      </c>
    </row>
    <row r="65" customFormat="false" ht="15" hidden="false" customHeight="false" outlineLevel="0" collapsed="false">
      <c r="A65" s="8" t="s">
        <v>3196</v>
      </c>
      <c r="B65" s="8" t="s">
        <v>3197</v>
      </c>
      <c r="C65" s="8" t="s">
        <v>2924</v>
      </c>
      <c r="D65" s="8" t="s">
        <v>3198</v>
      </c>
    </row>
    <row r="66" customFormat="false" ht="15" hidden="false" customHeight="false" outlineLevel="0" collapsed="false">
      <c r="A66" s="9" t="s">
        <v>3199</v>
      </c>
      <c r="B66" s="9" t="s">
        <v>3200</v>
      </c>
      <c r="C66" s="9" t="s">
        <v>3108</v>
      </c>
      <c r="D66" s="9" t="s">
        <v>3201</v>
      </c>
    </row>
    <row r="67" customFormat="false" ht="15" hidden="false" customHeight="false" outlineLevel="0" collapsed="false">
      <c r="A67" s="8" t="s">
        <v>3202</v>
      </c>
      <c r="B67" s="8" t="s">
        <v>3203</v>
      </c>
      <c r="C67" s="8" t="s">
        <v>3111</v>
      </c>
      <c r="D67" s="8" t="s">
        <v>3204</v>
      </c>
    </row>
    <row r="68" customFormat="false" ht="15" hidden="false" customHeight="false" outlineLevel="0" collapsed="false">
      <c r="A68" s="9" t="s">
        <v>3205</v>
      </c>
      <c r="B68" s="9" t="s">
        <v>3206</v>
      </c>
      <c r="C68" s="9" t="s">
        <v>3127</v>
      </c>
      <c r="D68" s="9" t="s">
        <v>3207</v>
      </c>
    </row>
    <row r="69" customFormat="false" ht="15" hidden="false" customHeight="false" outlineLevel="0" collapsed="false">
      <c r="A69" s="8" t="s">
        <v>3208</v>
      </c>
      <c r="B69" s="8" t="s">
        <v>260</v>
      </c>
      <c r="C69" s="8" t="s">
        <v>3062</v>
      </c>
      <c r="D69" s="8" t="s">
        <v>3204</v>
      </c>
    </row>
    <row r="70" customFormat="false" ht="15" hidden="false" customHeight="false" outlineLevel="0" collapsed="false">
      <c r="A70" s="9" t="s">
        <v>3209</v>
      </c>
      <c r="B70" s="9" t="s">
        <v>1063</v>
      </c>
      <c r="C70" s="9" t="s">
        <v>3151</v>
      </c>
      <c r="D70" s="9" t="s">
        <v>3210</v>
      </c>
    </row>
    <row r="71" customFormat="false" ht="15" hidden="false" customHeight="false" outlineLevel="0" collapsed="false">
      <c r="A71" s="8" t="s">
        <v>3211</v>
      </c>
      <c r="B71" s="8" t="s">
        <v>1138</v>
      </c>
      <c r="C71" s="8" t="s">
        <v>3075</v>
      </c>
      <c r="D71" s="8" t="s">
        <v>3212</v>
      </c>
    </row>
  </sheetData>
  <autoFilter ref="A3:D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 collapsed="false" customWidth="true" hidden="false" outlineLevel="0" max="3" min="3" style="0" width="90"/>
  </cols>
  <sheetData>
    <row r="1" customFormat="false" ht="19.7" hidden="false" customHeight="false" outlineLevel="0" collapsed="false">
      <c r="A1" s="1" t="s">
        <v>427</v>
      </c>
    </row>
    <row r="3" customFormat="false" ht="15" hidden="false" customHeight="false" outlineLevel="0" collapsed="false">
      <c r="A3" s="5" t="s">
        <v>1026</v>
      </c>
      <c r="B3" s="6"/>
    </row>
    <row r="4" customFormat="false" ht="23.85" hidden="false" customHeight="false" outlineLevel="0" collapsed="false">
      <c r="A4" s="3" t="s">
        <v>3213</v>
      </c>
      <c r="B4" s="4" t="s">
        <v>3214</v>
      </c>
    </row>
    <row r="5" customFormat="false" ht="23.85" hidden="false" customHeight="false" outlineLevel="0" collapsed="false">
      <c r="A5" s="3" t="s">
        <v>3215</v>
      </c>
      <c r="B5" s="4" t="s">
        <v>3216</v>
      </c>
    </row>
    <row r="6" customFormat="false" ht="23.85" hidden="false" customHeight="false" outlineLevel="0" collapsed="false">
      <c r="A6" s="3" t="s">
        <v>3217</v>
      </c>
      <c r="B6" s="4" t="s">
        <v>3218</v>
      </c>
    </row>
    <row r="7" customFormat="false" ht="15" hidden="false" customHeight="false" outlineLevel="0" collapsed="false">
      <c r="A7" s="3" t="s">
        <v>1030</v>
      </c>
      <c r="B7" s="4" t="s">
        <v>3219</v>
      </c>
    </row>
    <row r="9" customFormat="false" ht="15" hidden="false" customHeight="false" outlineLevel="0" collapsed="false">
      <c r="A9" s="5" t="s">
        <v>3220</v>
      </c>
      <c r="B9" s="6"/>
    </row>
    <row r="10" customFormat="false" ht="15" hidden="false" customHeight="false" outlineLevel="0" collapsed="false">
      <c r="A10" s="7" t="s">
        <v>704</v>
      </c>
      <c r="B10" s="7" t="s">
        <v>705</v>
      </c>
      <c r="C10" s="7" t="s">
        <v>3221</v>
      </c>
    </row>
    <row r="11" customFormat="false" ht="23.85" hidden="false" customHeight="false" outlineLevel="0" collapsed="false">
      <c r="A11" s="8" t="n">
        <v>1</v>
      </c>
      <c r="B11" s="8" t="s">
        <v>709</v>
      </c>
      <c r="C11" s="8" t="s">
        <v>3222</v>
      </c>
    </row>
    <row r="12" customFormat="false" ht="23.85" hidden="false" customHeight="false" outlineLevel="0" collapsed="false">
      <c r="A12" s="9" t="n">
        <v>2</v>
      </c>
      <c r="B12" s="9" t="s">
        <v>3223</v>
      </c>
      <c r="C12" s="9" t="s">
        <v>3224</v>
      </c>
    </row>
    <row r="13" customFormat="false" ht="15" hidden="false" customHeight="false" outlineLevel="0" collapsed="false">
      <c r="A13" s="8" t="n">
        <v>3</v>
      </c>
      <c r="B13" s="8" t="s">
        <v>3225</v>
      </c>
      <c r="C13" s="8" t="s">
        <v>3226</v>
      </c>
    </row>
    <row r="14" customFormat="false" ht="15" hidden="false" customHeight="false" outlineLevel="0" collapsed="false">
      <c r="A14" s="9" t="n">
        <v>4</v>
      </c>
      <c r="B14" s="9" t="s">
        <v>3227</v>
      </c>
      <c r="C14" s="9" t="s">
        <v>3228</v>
      </c>
    </row>
    <row r="15" customFormat="false" ht="23.85" hidden="false" customHeight="false" outlineLevel="0" collapsed="false">
      <c r="A15" s="8" t="n">
        <v>5</v>
      </c>
      <c r="B15" s="8" t="s">
        <v>3229</v>
      </c>
      <c r="C15" s="8" t="s">
        <v>3230</v>
      </c>
    </row>
    <row r="17" customFormat="false" ht="15" hidden="false" customHeight="false" outlineLevel="0" collapsed="false">
      <c r="A17" s="5" t="s">
        <v>3231</v>
      </c>
      <c r="B17" s="6"/>
    </row>
    <row r="18" customFormat="false" ht="15" hidden="false" customHeight="false" outlineLevel="0" collapsed="false">
      <c r="A18" s="3" t="s">
        <v>3232</v>
      </c>
      <c r="B18" s="4" t="s">
        <v>3233</v>
      </c>
    </row>
    <row r="19" customFormat="false" ht="15" hidden="false" customHeight="false" outlineLevel="0" collapsed="false">
      <c r="A19" s="3" t="s">
        <v>990</v>
      </c>
      <c r="B19" s="4" t="s">
        <v>3234</v>
      </c>
    </row>
    <row r="20" customFormat="false" ht="15" hidden="false" customHeight="false" outlineLevel="0" collapsed="false">
      <c r="A20" s="3" t="s">
        <v>3235</v>
      </c>
      <c r="B20" s="4" t="s">
        <v>3236</v>
      </c>
    </row>
    <row r="21" customFormat="false" ht="15" hidden="false" customHeight="false" outlineLevel="0" collapsed="false">
      <c r="A21" s="3" t="s">
        <v>2197</v>
      </c>
      <c r="B21" s="4" t="s">
        <v>3237</v>
      </c>
    </row>
    <row r="23" customFormat="false" ht="15" hidden="false" customHeight="false" outlineLevel="0" collapsed="false">
      <c r="A23" s="5" t="s">
        <v>3238</v>
      </c>
      <c r="B23" s="6"/>
    </row>
    <row r="24" customFormat="false" ht="15" hidden="false" customHeight="false" outlineLevel="0" collapsed="false">
      <c r="A24" s="3" t="s">
        <v>3239</v>
      </c>
      <c r="B24" s="4" t="s">
        <v>3240</v>
      </c>
    </row>
    <row r="25" customFormat="false" ht="15" hidden="false" customHeight="false" outlineLevel="0" collapsed="false">
      <c r="A25" s="3" t="s">
        <v>3241</v>
      </c>
      <c r="B25" s="4" t="s">
        <v>3242</v>
      </c>
    </row>
    <row r="26" customFormat="false" ht="15" hidden="false" customHeight="false" outlineLevel="0" collapsed="false">
      <c r="A26" s="3" t="s">
        <v>3243</v>
      </c>
      <c r="B26" s="4" t="s">
        <v>3244</v>
      </c>
    </row>
    <row r="27" customFormat="false" ht="15" hidden="false" customHeight="false" outlineLevel="0" collapsed="false">
      <c r="A27" s="3" t="s">
        <v>3245</v>
      </c>
      <c r="B27" s="4" t="s">
        <v>3246</v>
      </c>
    </row>
    <row r="28" customFormat="false" ht="15" hidden="false" customHeight="false" outlineLevel="0" collapsed="false">
      <c r="A28" s="3" t="s">
        <v>754</v>
      </c>
      <c r="B28" s="4" t="s">
        <v>3247</v>
      </c>
    </row>
    <row r="30" customFormat="false" ht="15" hidden="false" customHeight="false" outlineLevel="0" collapsed="false">
      <c r="A30" s="5" t="s">
        <v>3248</v>
      </c>
      <c r="B30" s="6"/>
    </row>
    <row r="31" customFormat="false" ht="15" hidden="false" customHeight="false" outlineLevel="0" collapsed="false">
      <c r="A31" s="3" t="s">
        <v>3249</v>
      </c>
      <c r="B31" s="4" t="s">
        <v>3250</v>
      </c>
    </row>
    <row r="32" customFormat="false" ht="15" hidden="false" customHeight="false" outlineLevel="0" collapsed="false">
      <c r="A32" s="3" t="s">
        <v>3251</v>
      </c>
      <c r="B32" s="4" t="s">
        <v>3252</v>
      </c>
    </row>
    <row r="33" customFormat="false" ht="15" hidden="false" customHeight="false" outlineLevel="0" collapsed="false">
      <c r="A33" s="3" t="s">
        <v>2122</v>
      </c>
      <c r="B33" s="4" t="s">
        <v>3253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90"/>
    <col collapsed="false" customWidth="true" hidden="false" outlineLevel="0" max="3" min="3" style="0" width="40"/>
  </cols>
  <sheetData>
    <row r="1" customFormat="false" ht="19.7" hidden="false" customHeight="false" outlineLevel="0" collapsed="false">
      <c r="A1" s="1" t="s">
        <v>499</v>
      </c>
    </row>
    <row r="2" customFormat="false" ht="15" hidden="false" customHeight="false" outlineLevel="0" collapsed="false">
      <c r="A2" s="2" t="s">
        <v>3254</v>
      </c>
    </row>
    <row r="3" customFormat="false" ht="15" hidden="false" customHeight="false" outlineLevel="0" collapsed="false">
      <c r="A3" s="5" t="s">
        <v>313</v>
      </c>
      <c r="B3" s="6"/>
    </row>
    <row r="4" customFormat="false" ht="23.85" hidden="false" customHeight="false" outlineLevel="0" collapsed="false">
      <c r="A4" s="3" t="s">
        <v>3255</v>
      </c>
      <c r="B4" s="4" t="s">
        <v>3256</v>
      </c>
    </row>
    <row r="5" customFormat="false" ht="15" hidden="false" customHeight="false" outlineLevel="0" collapsed="false">
      <c r="A5" s="3" t="s">
        <v>2404</v>
      </c>
      <c r="B5" s="4" t="s">
        <v>3257</v>
      </c>
    </row>
    <row r="6" customFormat="false" ht="15" hidden="false" customHeight="false" outlineLevel="0" collapsed="false">
      <c r="A6" s="3" t="s">
        <v>3258</v>
      </c>
      <c r="B6" s="4" t="s">
        <v>3259</v>
      </c>
    </row>
    <row r="7" customFormat="false" ht="23.85" hidden="false" customHeight="false" outlineLevel="0" collapsed="false">
      <c r="A7" s="3" t="s">
        <v>3260</v>
      </c>
      <c r="B7" s="4" t="s">
        <v>3261</v>
      </c>
    </row>
    <row r="8" customFormat="false" ht="15" hidden="false" customHeight="false" outlineLevel="0" collapsed="false">
      <c r="A8" s="3" t="s">
        <v>3262</v>
      </c>
      <c r="B8" s="4" t="s">
        <v>3263</v>
      </c>
    </row>
    <row r="10" customFormat="false" ht="15" hidden="false" customHeight="false" outlineLevel="0" collapsed="false">
      <c r="A10" s="5" t="s">
        <v>3264</v>
      </c>
      <c r="B10" s="6"/>
    </row>
    <row r="11" customFormat="false" ht="15" hidden="false" customHeight="false" outlineLevel="0" collapsed="false">
      <c r="A11" s="3" t="s">
        <v>3265</v>
      </c>
      <c r="B11" s="4" t="s">
        <v>3266</v>
      </c>
    </row>
    <row r="12" customFormat="false" ht="15" hidden="false" customHeight="false" outlineLevel="0" collapsed="false">
      <c r="A12" s="3" t="s">
        <v>3267</v>
      </c>
      <c r="B12" s="4" t="s">
        <v>3268</v>
      </c>
    </row>
    <row r="13" customFormat="false" ht="15" hidden="false" customHeight="false" outlineLevel="0" collapsed="false">
      <c r="A13" s="3" t="s">
        <v>3269</v>
      </c>
      <c r="B13" s="4" t="s">
        <v>3270</v>
      </c>
    </row>
    <row r="14" customFormat="false" ht="15" hidden="false" customHeight="false" outlineLevel="0" collapsed="false">
      <c r="A14" s="3" t="s">
        <v>3271</v>
      </c>
      <c r="B14" s="4" t="s">
        <v>3272</v>
      </c>
    </row>
    <row r="15" customFormat="false" ht="23.85" hidden="false" customHeight="false" outlineLevel="0" collapsed="false">
      <c r="A15" s="3" t="s">
        <v>3273</v>
      </c>
      <c r="B15" s="4" t="s">
        <v>3274</v>
      </c>
    </row>
    <row r="17" customFormat="false" ht="15" hidden="false" customHeight="false" outlineLevel="0" collapsed="false">
      <c r="A17" s="5" t="s">
        <v>3275</v>
      </c>
      <c r="B17" s="6"/>
    </row>
    <row r="18" customFormat="false" ht="15" hidden="false" customHeight="false" outlineLevel="0" collapsed="false">
      <c r="A18" s="7" t="s">
        <v>124</v>
      </c>
      <c r="B18" s="7" t="s">
        <v>1962</v>
      </c>
      <c r="C18" s="7" t="s">
        <v>3132</v>
      </c>
    </row>
    <row r="19" customFormat="false" ht="35.05" hidden="false" customHeight="false" outlineLevel="0" collapsed="false">
      <c r="A19" s="8" t="s">
        <v>3276</v>
      </c>
      <c r="B19" s="8" t="s">
        <v>3277</v>
      </c>
      <c r="C19" s="8" t="s">
        <v>3278</v>
      </c>
    </row>
    <row r="20" customFormat="false" ht="35.05" hidden="false" customHeight="false" outlineLevel="0" collapsed="false">
      <c r="A20" s="9" t="s">
        <v>3279</v>
      </c>
      <c r="B20" s="9" t="s">
        <v>3280</v>
      </c>
      <c r="C20" s="9" t="s">
        <v>3281</v>
      </c>
    </row>
    <row r="21" customFormat="false" ht="35.05" hidden="false" customHeight="false" outlineLevel="0" collapsed="false">
      <c r="A21" s="8" t="s">
        <v>3282</v>
      </c>
      <c r="B21" s="8" t="s">
        <v>3283</v>
      </c>
      <c r="C21" s="8" t="s">
        <v>3284</v>
      </c>
    </row>
    <row r="22" customFormat="false" ht="23.85" hidden="false" customHeight="false" outlineLevel="0" collapsed="false">
      <c r="A22" s="9" t="s">
        <v>3285</v>
      </c>
      <c r="B22" s="9" t="s">
        <v>3286</v>
      </c>
      <c r="C22" s="9" t="s">
        <v>3287</v>
      </c>
    </row>
    <row r="23" customFormat="false" ht="35.05" hidden="false" customHeight="false" outlineLevel="0" collapsed="false">
      <c r="A23" s="8" t="s">
        <v>3288</v>
      </c>
      <c r="B23" s="8" t="s">
        <v>3289</v>
      </c>
      <c r="C23" s="8" t="s">
        <v>3290</v>
      </c>
    </row>
    <row r="24" customFormat="false" ht="23.85" hidden="false" customHeight="false" outlineLevel="0" collapsed="false">
      <c r="A24" s="9" t="s">
        <v>3291</v>
      </c>
      <c r="B24" s="9" t="s">
        <v>3292</v>
      </c>
      <c r="C24" s="9" t="s">
        <v>3293</v>
      </c>
    </row>
    <row r="25" customFormat="false" ht="23.85" hidden="false" customHeight="false" outlineLevel="0" collapsed="false">
      <c r="A25" s="8" t="s">
        <v>3294</v>
      </c>
      <c r="B25" s="8" t="s">
        <v>3295</v>
      </c>
      <c r="C25" s="8" t="s">
        <v>3296</v>
      </c>
    </row>
    <row r="26" customFormat="false" ht="35.05" hidden="false" customHeight="false" outlineLevel="0" collapsed="false">
      <c r="A26" s="9" t="s">
        <v>3297</v>
      </c>
      <c r="B26" s="9" t="s">
        <v>3298</v>
      </c>
      <c r="C26" s="9" t="s">
        <v>3299</v>
      </c>
    </row>
    <row r="27" customFormat="false" ht="23.85" hidden="false" customHeight="false" outlineLevel="0" collapsed="false">
      <c r="A27" s="8" t="s">
        <v>3300</v>
      </c>
      <c r="B27" s="8" t="s">
        <v>3301</v>
      </c>
      <c r="C27" s="8" t="s">
        <v>3302</v>
      </c>
    </row>
    <row r="28" customFormat="false" ht="35.05" hidden="false" customHeight="false" outlineLevel="0" collapsed="false">
      <c r="A28" s="9" t="s">
        <v>3303</v>
      </c>
      <c r="B28" s="9" t="s">
        <v>3304</v>
      </c>
      <c r="C28" s="9" t="s">
        <v>3305</v>
      </c>
    </row>
    <row r="29" customFormat="false" ht="35.05" hidden="false" customHeight="false" outlineLevel="0" collapsed="false">
      <c r="A29" s="8" t="s">
        <v>3306</v>
      </c>
      <c r="B29" s="8" t="s">
        <v>3307</v>
      </c>
      <c r="C29" s="8" t="s">
        <v>3308</v>
      </c>
    </row>
    <row r="30" customFormat="false" ht="23.85" hidden="false" customHeight="false" outlineLevel="0" collapsed="false">
      <c r="A30" s="9" t="s">
        <v>3309</v>
      </c>
      <c r="B30" s="9" t="s">
        <v>3310</v>
      </c>
      <c r="C30" s="9" t="s">
        <v>3311</v>
      </c>
    </row>
    <row r="32" customFormat="false" ht="15" hidden="false" customHeight="false" outlineLevel="0" collapsed="false">
      <c r="A32" s="5" t="s">
        <v>3312</v>
      </c>
      <c r="B32" s="6"/>
    </row>
    <row r="33" customFormat="false" ht="15" hidden="false" customHeight="false" outlineLevel="0" collapsed="false">
      <c r="A33" s="7" t="s">
        <v>3313</v>
      </c>
      <c r="B33" s="7" t="s">
        <v>3314</v>
      </c>
    </row>
    <row r="34" customFormat="false" ht="46.25" hidden="false" customHeight="false" outlineLevel="0" collapsed="false">
      <c r="A34" s="8" t="s">
        <v>3315</v>
      </c>
      <c r="B34" s="8" t="s">
        <v>3316</v>
      </c>
    </row>
    <row r="35" customFormat="false" ht="23.85" hidden="false" customHeight="false" outlineLevel="0" collapsed="false">
      <c r="A35" s="9" t="s">
        <v>3317</v>
      </c>
      <c r="B35" s="9" t="s">
        <v>3318</v>
      </c>
    </row>
    <row r="36" customFormat="false" ht="15" hidden="false" customHeight="false" outlineLevel="0" collapsed="false">
      <c r="A36" s="8" t="s">
        <v>3319</v>
      </c>
      <c r="B36" s="8" t="s">
        <v>3320</v>
      </c>
    </row>
    <row r="37" customFormat="false" ht="15" hidden="false" customHeight="false" outlineLevel="0" collapsed="false">
      <c r="A37" s="9" t="s">
        <v>3321</v>
      </c>
      <c r="B37" s="9" t="s">
        <v>3322</v>
      </c>
    </row>
    <row r="38" customFormat="false" ht="15" hidden="false" customHeight="false" outlineLevel="0" collapsed="false">
      <c r="A38" s="8" t="s">
        <v>3323</v>
      </c>
      <c r="B38" s="8" t="s">
        <v>3324</v>
      </c>
    </row>
    <row r="39" customFormat="false" ht="15" hidden="false" customHeight="false" outlineLevel="0" collapsed="false">
      <c r="A39" s="9" t="s">
        <v>3325</v>
      </c>
      <c r="B39" s="9" t="s">
        <v>3326</v>
      </c>
    </row>
    <row r="41" customFormat="false" ht="15" hidden="false" customHeight="false" outlineLevel="0" collapsed="false">
      <c r="A41" s="5" t="s">
        <v>3327</v>
      </c>
      <c r="B41" s="6"/>
    </row>
    <row r="42" customFormat="false" ht="15" hidden="false" customHeight="false" outlineLevel="0" collapsed="false">
      <c r="A42" s="3" t="s">
        <v>3328</v>
      </c>
      <c r="B42" s="4" t="s">
        <v>3259</v>
      </c>
    </row>
    <row r="43" customFormat="false" ht="15" hidden="false" customHeight="false" outlineLevel="0" collapsed="false">
      <c r="A43" s="3" t="s">
        <v>3329</v>
      </c>
      <c r="B43" s="4" t="s">
        <v>3330</v>
      </c>
    </row>
    <row r="44" customFormat="false" ht="15" hidden="false" customHeight="false" outlineLevel="0" collapsed="false">
      <c r="A44" s="3" t="s">
        <v>3331</v>
      </c>
      <c r="B44" s="4" t="s">
        <v>3332</v>
      </c>
    </row>
    <row r="45" customFormat="false" ht="15" hidden="false" customHeight="false" outlineLevel="0" collapsed="false">
      <c r="A45" s="3" t="s">
        <v>3333</v>
      </c>
      <c r="B45" s="4" t="s">
        <v>3334</v>
      </c>
    </row>
    <row r="47" customFormat="false" ht="15" hidden="false" customHeight="false" outlineLevel="0" collapsed="false">
      <c r="A47" s="5" t="s">
        <v>3335</v>
      </c>
      <c r="B47" s="6"/>
    </row>
    <row r="48" customFormat="false" ht="15" hidden="false" customHeight="false" outlineLevel="0" collapsed="false">
      <c r="A48" s="7" t="s">
        <v>124</v>
      </c>
      <c r="B48" s="7" t="s">
        <v>3336</v>
      </c>
      <c r="C48" s="7" t="s">
        <v>2197</v>
      </c>
    </row>
    <row r="49" customFormat="false" ht="15" hidden="false" customHeight="false" outlineLevel="0" collapsed="false">
      <c r="A49" s="8" t="s">
        <v>3337</v>
      </c>
      <c r="B49" s="8" t="s">
        <v>3259</v>
      </c>
      <c r="C49" s="8" t="s">
        <v>3338</v>
      </c>
    </row>
    <row r="50" customFormat="false" ht="15" hidden="false" customHeight="false" outlineLevel="0" collapsed="false">
      <c r="A50" s="9" t="s">
        <v>3339</v>
      </c>
      <c r="B50" s="9" t="s">
        <v>3340</v>
      </c>
      <c r="C50" s="9" t="s">
        <v>3341</v>
      </c>
    </row>
    <row r="51" customFormat="false" ht="15" hidden="false" customHeight="false" outlineLevel="0" collapsed="false">
      <c r="A51" s="8" t="s">
        <v>3342</v>
      </c>
      <c r="B51" s="8" t="s">
        <v>3343</v>
      </c>
      <c r="C51" s="8" t="s">
        <v>3344</v>
      </c>
    </row>
    <row r="52" customFormat="false" ht="15" hidden="false" customHeight="false" outlineLevel="0" collapsed="false">
      <c r="A52" s="9" t="s">
        <v>3345</v>
      </c>
      <c r="B52" s="9" t="s">
        <v>3330</v>
      </c>
      <c r="C52" s="9" t="s">
        <v>3346</v>
      </c>
    </row>
    <row r="53" customFormat="false" ht="15" hidden="false" customHeight="false" outlineLevel="0" collapsed="false">
      <c r="A53" s="8" t="s">
        <v>3347</v>
      </c>
      <c r="B53" s="8" t="s">
        <v>3348</v>
      </c>
      <c r="C53" s="8" t="s">
        <v>3349</v>
      </c>
    </row>
    <row r="55" customFormat="false" ht="15" hidden="false" customHeight="false" outlineLevel="0" collapsed="false">
      <c r="A55" s="5" t="s">
        <v>3350</v>
      </c>
      <c r="B55" s="6"/>
    </row>
    <row r="56" customFormat="false" ht="23.85" hidden="false" customHeight="false" outlineLevel="0" collapsed="false">
      <c r="A56" s="3" t="s">
        <v>3351</v>
      </c>
      <c r="B56" s="4" t="s">
        <v>3352</v>
      </c>
    </row>
    <row r="57" customFormat="false" ht="23.85" hidden="false" customHeight="false" outlineLevel="0" collapsed="false">
      <c r="A57" s="3" t="s">
        <v>3353</v>
      </c>
      <c r="B57" s="4" t="s">
        <v>3354</v>
      </c>
    </row>
    <row r="58" customFormat="false" ht="15" hidden="false" customHeight="false" outlineLevel="0" collapsed="false">
      <c r="A58" s="3" t="s">
        <v>3355</v>
      </c>
      <c r="B58" s="4" t="s">
        <v>3356</v>
      </c>
    </row>
    <row r="59" customFormat="false" ht="35.05" hidden="false" customHeight="false" outlineLevel="0" collapsed="false">
      <c r="A59" s="3" t="s">
        <v>3357</v>
      </c>
      <c r="B59" s="4" t="s">
        <v>3358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6"/>
    <col collapsed="false" customWidth="true" hidden="false" outlineLevel="0" max="3" min="3" style="0" width="30"/>
    <col collapsed="false" customWidth="true" hidden="false" outlineLevel="0" max="4" min="4" style="0" width="70"/>
  </cols>
  <sheetData>
    <row r="1" customFormat="false" ht="19.7" hidden="false" customHeight="false" outlineLevel="0" collapsed="false">
      <c r="A1" s="1" t="s">
        <v>3359</v>
      </c>
    </row>
    <row r="2" customFormat="false" ht="15" hidden="false" customHeight="false" outlineLevel="0" collapsed="false">
      <c r="A2" s="2" t="s">
        <v>3360</v>
      </c>
    </row>
    <row r="3" customFormat="false" ht="15" hidden="false" customHeight="false" outlineLevel="0" collapsed="false">
      <c r="A3" s="5" t="s">
        <v>3361</v>
      </c>
      <c r="B3" s="6"/>
      <c r="C3" s="6"/>
      <c r="D3" s="6"/>
    </row>
    <row r="4" customFormat="false" ht="15" hidden="false" customHeight="false" outlineLevel="0" collapsed="false">
      <c r="A4" s="7" t="s">
        <v>3362</v>
      </c>
      <c r="B4" s="7" t="s">
        <v>3363</v>
      </c>
      <c r="C4" s="7" t="s">
        <v>1360</v>
      </c>
      <c r="D4" s="7" t="s">
        <v>1962</v>
      </c>
    </row>
    <row r="5" customFormat="false" ht="15" hidden="false" customHeight="false" outlineLevel="0" collapsed="false">
      <c r="A5" s="8" t="s">
        <v>3364</v>
      </c>
      <c r="B5" s="8" t="s">
        <v>2207</v>
      </c>
      <c r="C5" s="8" t="s">
        <v>3365</v>
      </c>
      <c r="D5" s="8" t="s">
        <v>3366</v>
      </c>
    </row>
    <row r="6" customFormat="false" ht="15" hidden="false" customHeight="false" outlineLevel="0" collapsed="false">
      <c r="A6" s="9" t="s">
        <v>2203</v>
      </c>
      <c r="B6" s="9" t="s">
        <v>2202</v>
      </c>
      <c r="C6" s="9" t="s">
        <v>2201</v>
      </c>
      <c r="D6" s="9" t="s">
        <v>3367</v>
      </c>
    </row>
    <row r="7" customFormat="false" ht="23.85" hidden="false" customHeight="false" outlineLevel="0" collapsed="false">
      <c r="A7" s="8" t="s">
        <v>3368</v>
      </c>
      <c r="B7" s="8" t="s">
        <v>2232</v>
      </c>
      <c r="C7" s="8" t="s">
        <v>3369</v>
      </c>
      <c r="D7" s="8" t="s">
        <v>3370</v>
      </c>
    </row>
    <row r="8" customFormat="false" ht="23.85" hidden="false" customHeight="false" outlineLevel="0" collapsed="false">
      <c r="A8" s="9" t="s">
        <v>3371</v>
      </c>
      <c r="B8" s="9" t="s">
        <v>3372</v>
      </c>
      <c r="C8" s="9" t="s">
        <v>3373</v>
      </c>
      <c r="D8" s="9" t="s">
        <v>3374</v>
      </c>
    </row>
    <row r="9" customFormat="false" ht="23.85" hidden="false" customHeight="false" outlineLevel="0" collapsed="false">
      <c r="A9" s="8" t="s">
        <v>3375</v>
      </c>
      <c r="B9" s="8" t="s">
        <v>2236</v>
      </c>
      <c r="C9" s="8" t="s">
        <v>3376</v>
      </c>
      <c r="D9" s="8"/>
    </row>
    <row r="10" customFormat="false" ht="15" hidden="false" customHeight="false" outlineLevel="0" collapsed="false">
      <c r="A10" s="9" t="s">
        <v>3377</v>
      </c>
      <c r="B10" s="9" t="s">
        <v>2220</v>
      </c>
      <c r="C10" s="9" t="s">
        <v>3016</v>
      </c>
      <c r="D10" s="9"/>
    </row>
    <row r="11" customFormat="false" ht="15" hidden="false" customHeight="false" outlineLevel="0" collapsed="false">
      <c r="A11" s="8" t="s">
        <v>3378</v>
      </c>
      <c r="B11" s="8" t="s">
        <v>3379</v>
      </c>
      <c r="C11" s="8" t="s">
        <v>3380</v>
      </c>
      <c r="D11" s="8" t="s">
        <v>3381</v>
      </c>
    </row>
    <row r="13" customFormat="false" ht="15" hidden="false" customHeight="false" outlineLevel="0" collapsed="false">
      <c r="A13" s="5" t="s">
        <v>515</v>
      </c>
      <c r="B13" s="6"/>
      <c r="C13" s="6"/>
      <c r="D13" s="6"/>
    </row>
    <row r="14" customFormat="false" ht="15" hidden="false" customHeight="false" outlineLevel="0" collapsed="false">
      <c r="A14" s="7" t="s">
        <v>1360</v>
      </c>
      <c r="B14" s="7" t="s">
        <v>3382</v>
      </c>
      <c r="C14" s="7" t="s">
        <v>2197</v>
      </c>
      <c r="D14" s="7" t="s">
        <v>1962</v>
      </c>
    </row>
    <row r="15" customFormat="false" ht="15" hidden="false" customHeight="false" outlineLevel="0" collapsed="false">
      <c r="A15" s="8" t="s">
        <v>3383</v>
      </c>
      <c r="B15" s="8" t="s">
        <v>3384</v>
      </c>
      <c r="C15" s="8" t="s">
        <v>3385</v>
      </c>
      <c r="D15" s="8" t="s">
        <v>3386</v>
      </c>
    </row>
    <row r="16" customFormat="false" ht="15" hidden="false" customHeight="false" outlineLevel="0" collapsed="false">
      <c r="A16" s="9" t="s">
        <v>3387</v>
      </c>
      <c r="B16" s="9" t="s">
        <v>3388</v>
      </c>
      <c r="C16" s="9" t="s">
        <v>3389</v>
      </c>
      <c r="D16" s="9" t="s">
        <v>3390</v>
      </c>
    </row>
    <row r="17" customFormat="false" ht="23.85" hidden="false" customHeight="false" outlineLevel="0" collapsed="false">
      <c r="A17" s="8" t="s">
        <v>3391</v>
      </c>
      <c r="B17" s="8" t="s">
        <v>3392</v>
      </c>
      <c r="C17" s="8" t="s">
        <v>3393</v>
      </c>
      <c r="D17" s="8" t="s">
        <v>3394</v>
      </c>
    </row>
    <row r="19" customFormat="false" ht="15" hidden="false" customHeight="false" outlineLevel="0" collapsed="false">
      <c r="A19" s="5" t="s">
        <v>3395</v>
      </c>
      <c r="B19" s="6"/>
      <c r="C19" s="6"/>
      <c r="D19" s="6"/>
    </row>
    <row r="20" customFormat="false" ht="15" hidden="false" customHeight="false" outlineLevel="0" collapsed="false">
      <c r="A20" s="7" t="s">
        <v>124</v>
      </c>
      <c r="B20" s="7" t="s">
        <v>3132</v>
      </c>
      <c r="C20" s="7" t="s">
        <v>2274</v>
      </c>
    </row>
    <row r="21" customFormat="false" ht="35.05" hidden="false" customHeight="false" outlineLevel="0" collapsed="false">
      <c r="A21" s="8" t="s">
        <v>3396</v>
      </c>
      <c r="B21" s="8" t="s">
        <v>3397</v>
      </c>
      <c r="C21" s="8" t="s">
        <v>3398</v>
      </c>
    </row>
    <row r="22" customFormat="false" ht="35.05" hidden="false" customHeight="false" outlineLevel="0" collapsed="false">
      <c r="A22" s="9" t="s">
        <v>3399</v>
      </c>
      <c r="B22" s="9" t="s">
        <v>3400</v>
      </c>
      <c r="C22" s="9" t="s">
        <v>3401</v>
      </c>
    </row>
    <row r="23" customFormat="false" ht="35.05" hidden="false" customHeight="false" outlineLevel="0" collapsed="false">
      <c r="A23" s="8" t="s">
        <v>3402</v>
      </c>
      <c r="B23" s="8" t="s">
        <v>3403</v>
      </c>
      <c r="C23" s="8" t="s">
        <v>3404</v>
      </c>
    </row>
    <row r="24" customFormat="false" ht="35.05" hidden="false" customHeight="false" outlineLevel="0" collapsed="false">
      <c r="A24" s="9" t="s">
        <v>3405</v>
      </c>
      <c r="B24" s="9" t="s">
        <v>3406</v>
      </c>
      <c r="C24" s="9" t="s">
        <v>3407</v>
      </c>
    </row>
    <row r="25" customFormat="false" ht="23.85" hidden="false" customHeight="false" outlineLevel="0" collapsed="false">
      <c r="A25" s="8" t="s">
        <v>3408</v>
      </c>
      <c r="B25" s="8" t="s">
        <v>3409</v>
      </c>
      <c r="C25" s="8" t="s">
        <v>3410</v>
      </c>
    </row>
    <row r="26" customFormat="false" ht="35.05" hidden="false" customHeight="false" outlineLevel="0" collapsed="false">
      <c r="A26" s="9" t="s">
        <v>3411</v>
      </c>
      <c r="B26" s="9" t="s">
        <v>3412</v>
      </c>
      <c r="C26" s="9" t="s">
        <v>3413</v>
      </c>
    </row>
    <row r="27" customFormat="false" ht="23.85" hidden="false" customHeight="false" outlineLevel="0" collapsed="false">
      <c r="A27" s="8" t="s">
        <v>3414</v>
      </c>
      <c r="B27" s="8" t="s">
        <v>3415</v>
      </c>
      <c r="C27" s="8" t="s">
        <v>3416</v>
      </c>
    </row>
    <row r="28" customFormat="false" ht="23.85" hidden="false" customHeight="false" outlineLevel="0" collapsed="false">
      <c r="A28" s="9" t="s">
        <v>3417</v>
      </c>
      <c r="B28" s="9" t="s">
        <v>3418</v>
      </c>
      <c r="C28" s="9" t="s">
        <v>3419</v>
      </c>
    </row>
    <row r="29" customFormat="false" ht="46.25" hidden="false" customHeight="false" outlineLevel="0" collapsed="false">
      <c r="A29" s="8" t="s">
        <v>3420</v>
      </c>
      <c r="B29" s="8" t="s">
        <v>3421</v>
      </c>
      <c r="C29" s="8" t="s">
        <v>3422</v>
      </c>
    </row>
    <row r="30" customFormat="false" ht="46.25" hidden="false" customHeight="false" outlineLevel="0" collapsed="false">
      <c r="A30" s="9" t="s">
        <v>3423</v>
      </c>
      <c r="B30" s="9" t="s">
        <v>3424</v>
      </c>
      <c r="C30" s="9" t="s">
        <v>3425</v>
      </c>
    </row>
    <row r="32" customFormat="false" ht="15" hidden="false" customHeight="false" outlineLevel="0" collapsed="false">
      <c r="A32" s="5" t="s">
        <v>3426</v>
      </c>
      <c r="B32" s="6"/>
      <c r="C32" s="6"/>
      <c r="D32" s="6"/>
    </row>
    <row r="33" customFormat="false" ht="15" hidden="false" customHeight="false" outlineLevel="0" collapsed="false">
      <c r="A33" s="7" t="s">
        <v>124</v>
      </c>
      <c r="B33" s="7" t="s">
        <v>125</v>
      </c>
      <c r="C33" s="7" t="s">
        <v>1962</v>
      </c>
    </row>
    <row r="34" customFormat="false" ht="57.45" hidden="false" customHeight="false" outlineLevel="0" collapsed="false">
      <c r="A34" s="8" t="s">
        <v>3427</v>
      </c>
      <c r="B34" s="8" t="s">
        <v>3428</v>
      </c>
      <c r="C34" s="8" t="s">
        <v>3429</v>
      </c>
    </row>
    <row r="35" customFormat="false" ht="57.45" hidden="false" customHeight="false" outlineLevel="0" collapsed="false">
      <c r="A35" s="9" t="s">
        <v>3430</v>
      </c>
      <c r="B35" s="9" t="s">
        <v>3431</v>
      </c>
      <c r="C35" s="9" t="s">
        <v>3432</v>
      </c>
    </row>
    <row r="36" customFormat="false" ht="35.05" hidden="false" customHeight="false" outlineLevel="0" collapsed="false">
      <c r="A36" s="8" t="s">
        <v>3433</v>
      </c>
      <c r="B36" s="8" t="s">
        <v>3434</v>
      </c>
      <c r="C36" s="8" t="s">
        <v>3435</v>
      </c>
    </row>
    <row r="37" customFormat="false" ht="35.05" hidden="false" customHeight="false" outlineLevel="0" collapsed="false">
      <c r="A37" s="9" t="s">
        <v>3436</v>
      </c>
      <c r="B37" s="9" t="s">
        <v>3437</v>
      </c>
      <c r="C37" s="9" t="s">
        <v>3438</v>
      </c>
    </row>
    <row r="38" customFormat="false" ht="35.05" hidden="false" customHeight="false" outlineLevel="0" collapsed="false">
      <c r="A38" s="8" t="s">
        <v>3439</v>
      </c>
      <c r="B38" s="8" t="s">
        <v>3440</v>
      </c>
      <c r="C38" s="8" t="s">
        <v>3441</v>
      </c>
    </row>
    <row r="39" customFormat="false" ht="35.05" hidden="false" customHeight="false" outlineLevel="0" collapsed="false">
      <c r="A39" s="9" t="s">
        <v>3442</v>
      </c>
      <c r="B39" s="9" t="s">
        <v>3443</v>
      </c>
      <c r="C39" s="9" t="s">
        <v>3444</v>
      </c>
    </row>
    <row r="40" customFormat="false" ht="57.45" hidden="false" customHeight="false" outlineLevel="0" collapsed="false">
      <c r="A40" s="8" t="s">
        <v>3445</v>
      </c>
      <c r="B40" s="8" t="s">
        <v>3446</v>
      </c>
      <c r="C40" s="8" t="s">
        <v>3447</v>
      </c>
    </row>
    <row r="41" customFormat="false" ht="35.05" hidden="false" customHeight="false" outlineLevel="0" collapsed="false">
      <c r="A41" s="9" t="s">
        <v>3448</v>
      </c>
      <c r="B41" s="9" t="s">
        <v>3449</v>
      </c>
      <c r="C41" s="9" t="s">
        <v>3450</v>
      </c>
    </row>
    <row r="42" customFormat="false" ht="35.05" hidden="false" customHeight="false" outlineLevel="0" collapsed="false">
      <c r="A42" s="8" t="s">
        <v>3451</v>
      </c>
      <c r="B42" s="8" t="s">
        <v>2191</v>
      </c>
      <c r="C42" s="8" t="s">
        <v>3452</v>
      </c>
    </row>
    <row r="43" customFormat="false" ht="35.05" hidden="false" customHeight="false" outlineLevel="0" collapsed="false">
      <c r="A43" s="9" t="s">
        <v>3453</v>
      </c>
      <c r="B43" s="9" t="s">
        <v>3454</v>
      </c>
      <c r="C43" s="9" t="s">
        <v>3455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45"/>
    <col collapsed="false" customWidth="true" hidden="false" outlineLevel="0" max="4" min="4" style="0" width="34"/>
    <col collapsed="false" customWidth="true" hidden="false" outlineLevel="0" max="5" min="5" style="0" width="60"/>
  </cols>
  <sheetData>
    <row r="1" customFormat="false" ht="19.7" hidden="false" customHeight="false" outlineLevel="0" collapsed="false">
      <c r="A1" s="1" t="s">
        <v>3456</v>
      </c>
    </row>
    <row r="2" customFormat="false" ht="15" hidden="false" customHeight="false" outlineLevel="0" collapsed="false">
      <c r="A2" s="2" t="s">
        <v>3457</v>
      </c>
    </row>
    <row r="3" customFormat="false" ht="15" hidden="false" customHeight="false" outlineLevel="0" collapsed="false">
      <c r="A3" s="7" t="s">
        <v>3458</v>
      </c>
      <c r="B3" s="7" t="s">
        <v>3459</v>
      </c>
      <c r="C3" s="7" t="s">
        <v>3460</v>
      </c>
      <c r="D3" s="7" t="s">
        <v>3461</v>
      </c>
      <c r="E3" s="7" t="s">
        <v>3462</v>
      </c>
    </row>
    <row r="4" customFormat="false" ht="35.05" hidden="false" customHeight="false" outlineLevel="0" collapsed="false">
      <c r="A4" s="8" t="s">
        <v>3463</v>
      </c>
      <c r="B4" s="8" t="s">
        <v>3464</v>
      </c>
      <c r="C4" s="8" t="s">
        <v>3465</v>
      </c>
      <c r="D4" s="8" t="s">
        <v>3466</v>
      </c>
      <c r="E4" s="8" t="s">
        <v>3467</v>
      </c>
    </row>
    <row r="5" customFormat="false" ht="15" hidden="false" customHeight="false" outlineLevel="0" collapsed="false">
      <c r="A5" s="9" t="s">
        <v>3468</v>
      </c>
      <c r="B5" s="9" t="s">
        <v>3469</v>
      </c>
      <c r="C5" s="9" t="s">
        <v>3470</v>
      </c>
      <c r="D5" s="9" t="s">
        <v>3471</v>
      </c>
      <c r="E5" s="9" t="s">
        <v>3472</v>
      </c>
    </row>
    <row r="6" customFormat="false" ht="15" hidden="false" customHeight="false" outlineLevel="0" collapsed="false">
      <c r="A6" s="8" t="s">
        <v>3473</v>
      </c>
      <c r="B6" s="8" t="s">
        <v>3474</v>
      </c>
      <c r="C6" s="8" t="s">
        <v>3475</v>
      </c>
      <c r="D6" s="8" t="s">
        <v>3476</v>
      </c>
      <c r="E6" s="8" t="s">
        <v>3477</v>
      </c>
    </row>
    <row r="7" customFormat="false" ht="15" hidden="false" customHeight="false" outlineLevel="0" collapsed="false">
      <c r="A7" s="9" t="s">
        <v>3478</v>
      </c>
      <c r="B7" s="9" t="s">
        <v>3479</v>
      </c>
      <c r="C7" s="9" t="s">
        <v>3480</v>
      </c>
      <c r="D7" s="9" t="s">
        <v>3481</v>
      </c>
      <c r="E7" s="9" t="s">
        <v>3482</v>
      </c>
    </row>
    <row r="8" customFormat="false" ht="15" hidden="false" customHeight="false" outlineLevel="0" collapsed="false">
      <c r="A8" s="8" t="s">
        <v>3483</v>
      </c>
      <c r="B8" s="8" t="s">
        <v>2421</v>
      </c>
      <c r="C8" s="8" t="s">
        <v>3484</v>
      </c>
      <c r="D8" s="8" t="s">
        <v>3485</v>
      </c>
      <c r="E8" s="8" t="s">
        <v>3486</v>
      </c>
    </row>
    <row r="9" customFormat="false" ht="15" hidden="false" customHeight="false" outlineLevel="0" collapsed="false">
      <c r="A9" s="9" t="s">
        <v>3487</v>
      </c>
      <c r="B9" s="9" t="s">
        <v>3488</v>
      </c>
      <c r="C9" s="9" t="s">
        <v>3489</v>
      </c>
      <c r="D9" s="9" t="s">
        <v>3490</v>
      </c>
      <c r="E9" s="9" t="s">
        <v>3491</v>
      </c>
    </row>
    <row r="10" customFormat="false" ht="15" hidden="false" customHeight="false" outlineLevel="0" collapsed="false">
      <c r="A10" s="8" t="s">
        <v>3492</v>
      </c>
      <c r="B10" s="8" t="s">
        <v>3493</v>
      </c>
      <c r="C10" s="8" t="s">
        <v>3494</v>
      </c>
      <c r="D10" s="8" t="s">
        <v>3495</v>
      </c>
      <c r="E10" s="8" t="s">
        <v>3496</v>
      </c>
    </row>
    <row r="11" customFormat="false" ht="15" hidden="false" customHeight="false" outlineLevel="0" collapsed="false">
      <c r="A11" s="9" t="s">
        <v>3497</v>
      </c>
      <c r="B11" s="9" t="s">
        <v>3498</v>
      </c>
      <c r="C11" s="9" t="s">
        <v>3499</v>
      </c>
      <c r="D11" s="9" t="s">
        <v>3500</v>
      </c>
      <c r="E11" s="9" t="s">
        <v>3501</v>
      </c>
    </row>
    <row r="12" customFormat="false" ht="23.85" hidden="false" customHeight="false" outlineLevel="0" collapsed="false">
      <c r="A12" s="8" t="s">
        <v>3502</v>
      </c>
      <c r="B12" s="8" t="s">
        <v>3503</v>
      </c>
      <c r="C12" s="8" t="s">
        <v>3504</v>
      </c>
      <c r="D12" s="8" t="s">
        <v>3505</v>
      </c>
      <c r="E12" s="8" t="s">
        <v>3506</v>
      </c>
    </row>
    <row r="13" customFormat="false" ht="15" hidden="false" customHeight="false" outlineLevel="0" collapsed="false">
      <c r="A13" s="9" t="s">
        <v>3507</v>
      </c>
      <c r="B13" s="9" t="s">
        <v>3508</v>
      </c>
      <c r="C13" s="9" t="s">
        <v>3509</v>
      </c>
      <c r="D13" s="9" t="s">
        <v>3505</v>
      </c>
      <c r="E13" s="9"/>
    </row>
    <row r="14" customFormat="false" ht="15" hidden="false" customHeight="false" outlineLevel="0" collapsed="false">
      <c r="A14" s="8" t="s">
        <v>3510</v>
      </c>
      <c r="B14" s="8" t="s">
        <v>3511</v>
      </c>
      <c r="C14" s="8" t="s">
        <v>3512</v>
      </c>
      <c r="D14" s="8" t="s">
        <v>3505</v>
      </c>
      <c r="E14" s="8"/>
    </row>
    <row r="15" customFormat="false" ht="15" hidden="false" customHeight="false" outlineLevel="0" collapsed="false">
      <c r="A15" s="9" t="s">
        <v>3513</v>
      </c>
      <c r="B15" s="9" t="s">
        <v>3514</v>
      </c>
      <c r="C15" s="9" t="s">
        <v>3515</v>
      </c>
      <c r="D15" s="9" t="s">
        <v>3516</v>
      </c>
      <c r="E15" s="9" t="s">
        <v>3517</v>
      </c>
    </row>
    <row r="16" customFormat="false" ht="15" hidden="false" customHeight="false" outlineLevel="0" collapsed="false">
      <c r="A16" s="8" t="s">
        <v>3518</v>
      </c>
      <c r="B16" s="8" t="s">
        <v>3519</v>
      </c>
      <c r="C16" s="8" t="s">
        <v>3520</v>
      </c>
      <c r="D16" s="8" t="s">
        <v>3481</v>
      </c>
      <c r="E16" s="8" t="s">
        <v>3521</v>
      </c>
    </row>
    <row r="17" customFormat="false" ht="23.85" hidden="false" customHeight="false" outlineLevel="0" collapsed="false">
      <c r="A17" s="9" t="s">
        <v>3522</v>
      </c>
      <c r="B17" s="9" t="s">
        <v>3523</v>
      </c>
      <c r="C17" s="9" t="s">
        <v>3524</v>
      </c>
      <c r="D17" s="9" t="s">
        <v>3525</v>
      </c>
      <c r="E17" s="9" t="s">
        <v>3526</v>
      </c>
    </row>
    <row r="18" customFormat="false" ht="15" hidden="false" customHeight="false" outlineLevel="0" collapsed="false">
      <c r="A18" s="8" t="s">
        <v>3527</v>
      </c>
      <c r="B18" s="8" t="s">
        <v>3528</v>
      </c>
      <c r="C18" s="8" t="s">
        <v>3529</v>
      </c>
      <c r="D18" s="8" t="s">
        <v>3530</v>
      </c>
      <c r="E18" s="8" t="s">
        <v>3531</v>
      </c>
    </row>
    <row r="19" customFormat="false" ht="15" hidden="false" customHeight="false" outlineLevel="0" collapsed="false">
      <c r="A19" s="9" t="s">
        <v>3532</v>
      </c>
      <c r="B19" s="9" t="s">
        <v>3533</v>
      </c>
      <c r="C19" s="9" t="s">
        <v>3534</v>
      </c>
      <c r="D19" s="9" t="s">
        <v>3516</v>
      </c>
      <c r="E19" s="9" t="s">
        <v>3535</v>
      </c>
    </row>
    <row r="20" customFormat="false" ht="15" hidden="false" customHeight="false" outlineLevel="0" collapsed="false">
      <c r="A20" s="8" t="s">
        <v>3536</v>
      </c>
      <c r="B20" s="8" t="s">
        <v>3537</v>
      </c>
      <c r="C20" s="8" t="s">
        <v>3538</v>
      </c>
      <c r="D20" s="8" t="s">
        <v>3539</v>
      </c>
      <c r="E20" s="8" t="s">
        <v>3540</v>
      </c>
    </row>
    <row r="21" customFormat="false" ht="23.85" hidden="false" customHeight="false" outlineLevel="0" collapsed="false">
      <c r="A21" s="9" t="s">
        <v>3541</v>
      </c>
      <c r="B21" s="9" t="s">
        <v>3542</v>
      </c>
      <c r="C21" s="9" t="s">
        <v>3543</v>
      </c>
      <c r="D21" s="9" t="s">
        <v>3481</v>
      </c>
      <c r="E21" s="9" t="s">
        <v>3544</v>
      </c>
    </row>
    <row r="22" customFormat="false" ht="23.85" hidden="false" customHeight="false" outlineLevel="0" collapsed="false">
      <c r="A22" s="8" t="s">
        <v>3545</v>
      </c>
      <c r="B22" s="8" t="s">
        <v>3546</v>
      </c>
      <c r="C22" s="8" t="s">
        <v>3547</v>
      </c>
      <c r="D22" s="8" t="s">
        <v>3481</v>
      </c>
      <c r="E22" s="8" t="s">
        <v>3548</v>
      </c>
    </row>
    <row r="23" customFormat="false" ht="15" hidden="false" customHeight="false" outlineLevel="0" collapsed="false">
      <c r="A23" s="9" t="s">
        <v>3549</v>
      </c>
      <c r="B23" s="9" t="s">
        <v>3550</v>
      </c>
      <c r="C23" s="9" t="s">
        <v>3551</v>
      </c>
      <c r="D23" s="9" t="s">
        <v>3552</v>
      </c>
      <c r="E23" s="9" t="s">
        <v>3553</v>
      </c>
    </row>
    <row r="24" customFormat="false" ht="15" hidden="false" customHeight="false" outlineLevel="0" collapsed="false">
      <c r="A24" s="8" t="s">
        <v>3554</v>
      </c>
      <c r="B24" s="8" t="s">
        <v>3555</v>
      </c>
      <c r="C24" s="8" t="s">
        <v>3556</v>
      </c>
      <c r="D24" s="8" t="s">
        <v>3557</v>
      </c>
      <c r="E24" s="8" t="s">
        <v>3558</v>
      </c>
    </row>
    <row r="26" customFormat="false" ht="15" hidden="false" customHeight="false" outlineLevel="0" collapsed="false">
      <c r="A26" s="5" t="s">
        <v>3559</v>
      </c>
      <c r="B26" s="6"/>
      <c r="C26" s="6"/>
      <c r="D26" s="6"/>
      <c r="E26" s="6"/>
    </row>
    <row r="27" customFormat="false" ht="15" hidden="false" customHeight="false" outlineLevel="0" collapsed="false">
      <c r="A27" s="7" t="s">
        <v>124</v>
      </c>
      <c r="B27" s="7" t="s">
        <v>125</v>
      </c>
      <c r="C27" s="7" t="s">
        <v>2346</v>
      </c>
    </row>
    <row r="28" customFormat="false" ht="23.85" hidden="false" customHeight="false" outlineLevel="0" collapsed="false">
      <c r="A28" s="8" t="s">
        <v>3560</v>
      </c>
      <c r="B28" s="8" t="s">
        <v>3561</v>
      </c>
      <c r="C28" s="8" t="s">
        <v>3562</v>
      </c>
    </row>
    <row r="29" customFormat="false" ht="23.85" hidden="false" customHeight="false" outlineLevel="0" collapsed="false">
      <c r="A29" s="9" t="s">
        <v>3563</v>
      </c>
      <c r="B29" s="9" t="s">
        <v>3564</v>
      </c>
      <c r="C29" s="9" t="s">
        <v>3565</v>
      </c>
    </row>
    <row r="30" customFormat="false" ht="23.85" hidden="false" customHeight="false" outlineLevel="0" collapsed="false">
      <c r="A30" s="8" t="s">
        <v>3566</v>
      </c>
      <c r="B30" s="8" t="s">
        <v>3567</v>
      </c>
      <c r="C30" s="8" t="s">
        <v>3568</v>
      </c>
    </row>
    <row r="31" customFormat="false" ht="23.85" hidden="false" customHeight="false" outlineLevel="0" collapsed="false">
      <c r="A31" s="9" t="s">
        <v>3569</v>
      </c>
      <c r="B31" s="9" t="s">
        <v>3570</v>
      </c>
      <c r="C31" s="9" t="s">
        <v>3571</v>
      </c>
    </row>
    <row r="32" customFormat="false" ht="23.85" hidden="false" customHeight="false" outlineLevel="0" collapsed="false">
      <c r="A32" s="8" t="s">
        <v>3572</v>
      </c>
      <c r="B32" s="8" t="s">
        <v>3573</v>
      </c>
      <c r="C32" s="8" t="s">
        <v>3574</v>
      </c>
    </row>
    <row r="33" customFormat="false" ht="23.85" hidden="false" customHeight="false" outlineLevel="0" collapsed="false">
      <c r="A33" s="9" t="s">
        <v>3575</v>
      </c>
      <c r="B33" s="9" t="s">
        <v>3576</v>
      </c>
      <c r="C33" s="9" t="s">
        <v>3577</v>
      </c>
    </row>
    <row r="34" customFormat="false" ht="23.85" hidden="false" customHeight="false" outlineLevel="0" collapsed="false">
      <c r="A34" s="8" t="s">
        <v>3578</v>
      </c>
      <c r="B34" s="8" t="s">
        <v>2565</v>
      </c>
      <c r="C34" s="8" t="s">
        <v>3579</v>
      </c>
    </row>
    <row r="35" customFormat="false" ht="23.85" hidden="false" customHeight="false" outlineLevel="0" collapsed="false">
      <c r="A35" s="9" t="s">
        <v>3580</v>
      </c>
      <c r="B35" s="9" t="s">
        <v>3581</v>
      </c>
      <c r="C35" s="9" t="s">
        <v>3582</v>
      </c>
    </row>
    <row r="36" customFormat="false" ht="35.05" hidden="false" customHeight="false" outlineLevel="0" collapsed="false">
      <c r="A36" s="8" t="s">
        <v>3583</v>
      </c>
      <c r="B36" s="8" t="s">
        <v>3584</v>
      </c>
      <c r="C36" s="8" t="s">
        <v>3585</v>
      </c>
    </row>
    <row r="37" customFormat="false" ht="23.85" hidden="false" customHeight="false" outlineLevel="0" collapsed="false">
      <c r="A37" s="9" t="s">
        <v>3586</v>
      </c>
      <c r="B37" s="9" t="s">
        <v>1090</v>
      </c>
      <c r="C37" s="9" t="s">
        <v>3587</v>
      </c>
    </row>
    <row r="38" customFormat="false" ht="23.85" hidden="false" customHeight="false" outlineLevel="0" collapsed="false">
      <c r="A38" s="8" t="s">
        <v>3588</v>
      </c>
      <c r="B38" s="8" t="s">
        <v>3589</v>
      </c>
      <c r="C38" s="8" t="s">
        <v>3590</v>
      </c>
    </row>
    <row r="39" customFormat="false" ht="23.85" hidden="false" customHeight="false" outlineLevel="0" collapsed="false">
      <c r="A39" s="9" t="s">
        <v>3591</v>
      </c>
      <c r="B39" s="9" t="s">
        <v>3592</v>
      </c>
      <c r="C39" s="9" t="s">
        <v>3593</v>
      </c>
    </row>
    <row r="40" customFormat="false" ht="23.85" hidden="false" customHeight="false" outlineLevel="0" collapsed="false">
      <c r="A40" s="8" t="s">
        <v>3594</v>
      </c>
      <c r="B40" s="8" t="s">
        <v>3595</v>
      </c>
      <c r="C40" s="8" t="s">
        <v>3596</v>
      </c>
    </row>
    <row r="41" customFormat="false" ht="23.85" hidden="false" customHeight="false" outlineLevel="0" collapsed="false">
      <c r="A41" s="9" t="s">
        <v>3597</v>
      </c>
      <c r="B41" s="9" t="s">
        <v>3598</v>
      </c>
      <c r="C41" s="9" t="s">
        <v>3599</v>
      </c>
    </row>
    <row r="42" customFormat="false" ht="15" hidden="false" customHeight="false" outlineLevel="0" collapsed="false">
      <c r="A42" s="8" t="s">
        <v>3600</v>
      </c>
      <c r="B42" s="8" t="s">
        <v>2443</v>
      </c>
      <c r="C42" s="8" t="s">
        <v>3601</v>
      </c>
    </row>
  </sheetData>
  <autoFilter ref="A3:E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3602</v>
      </c>
    </row>
    <row r="2" customFormat="false" ht="15" hidden="false" customHeight="false" outlineLevel="0" collapsed="false">
      <c r="A2" s="2" t="s">
        <v>3603</v>
      </c>
    </row>
    <row r="3" customFormat="false" ht="15" hidden="false" customHeight="false" outlineLevel="0" collapsed="false">
      <c r="A3" s="5" t="s">
        <v>3604</v>
      </c>
      <c r="B3" s="6"/>
    </row>
    <row r="4" customFormat="false" ht="15" hidden="false" customHeight="false" outlineLevel="0" collapsed="false">
      <c r="A4" s="3" t="s">
        <v>3605</v>
      </c>
      <c r="B4" s="4" t="s">
        <v>3606</v>
      </c>
    </row>
    <row r="5" customFormat="false" ht="15" hidden="false" customHeight="false" outlineLevel="0" collapsed="false">
      <c r="A5" s="3" t="s">
        <v>3607</v>
      </c>
      <c r="B5" s="4" t="s">
        <v>3608</v>
      </c>
    </row>
    <row r="6" customFormat="false" ht="15" hidden="false" customHeight="false" outlineLevel="0" collapsed="false">
      <c r="A6" s="3" t="s">
        <v>3609</v>
      </c>
      <c r="B6" s="4" t="s">
        <v>3610</v>
      </c>
    </row>
    <row r="7" customFormat="false" ht="15" hidden="false" customHeight="false" outlineLevel="0" collapsed="false">
      <c r="A7" s="3" t="s">
        <v>3611</v>
      </c>
      <c r="B7" s="4" t="s">
        <v>3612</v>
      </c>
    </row>
    <row r="8" customFormat="false" ht="15" hidden="false" customHeight="false" outlineLevel="0" collapsed="false">
      <c r="A8" s="3" t="s">
        <v>3613</v>
      </c>
      <c r="B8" s="4" t="s">
        <v>3614</v>
      </c>
    </row>
    <row r="9" customFormat="false" ht="15" hidden="false" customHeight="false" outlineLevel="0" collapsed="false">
      <c r="A9" s="3" t="s">
        <v>3615</v>
      </c>
      <c r="B9" s="4" t="s">
        <v>3616</v>
      </c>
    </row>
    <row r="10" customFormat="false" ht="15" hidden="false" customHeight="false" outlineLevel="0" collapsed="false">
      <c r="A10" s="3" t="s">
        <v>3617</v>
      </c>
      <c r="B10" s="4" t="s">
        <v>3618</v>
      </c>
    </row>
    <row r="11" customFormat="false" ht="15" hidden="false" customHeight="false" outlineLevel="0" collapsed="false">
      <c r="A11" s="3" t="s">
        <v>3619</v>
      </c>
      <c r="B11" s="4" t="s">
        <v>3620</v>
      </c>
    </row>
    <row r="12" customFormat="false" ht="15" hidden="false" customHeight="false" outlineLevel="0" collapsed="false">
      <c r="A12" s="3" t="s">
        <v>3621</v>
      </c>
      <c r="B12" s="4" t="s">
        <v>3622</v>
      </c>
    </row>
    <row r="13" customFormat="false" ht="15" hidden="false" customHeight="false" outlineLevel="0" collapsed="false">
      <c r="A13" s="3" t="s">
        <v>3623</v>
      </c>
      <c r="B13" s="4" t="s">
        <v>3624</v>
      </c>
    </row>
    <row r="15" customFormat="false" ht="15" hidden="false" customHeight="false" outlineLevel="0" collapsed="false">
      <c r="A15" s="5" t="s">
        <v>3625</v>
      </c>
      <c r="B15" s="6"/>
    </row>
    <row r="16" customFormat="false" ht="15" hidden="false" customHeight="false" outlineLevel="0" collapsed="false">
      <c r="A16" s="3" t="s">
        <v>1213</v>
      </c>
      <c r="B16" s="4" t="s">
        <v>3626</v>
      </c>
    </row>
    <row r="17" customFormat="false" ht="15" hidden="false" customHeight="false" outlineLevel="0" collapsed="false">
      <c r="A17" s="3" t="s">
        <v>3627</v>
      </c>
      <c r="B17" s="4" t="s">
        <v>3628</v>
      </c>
    </row>
    <row r="18" customFormat="false" ht="15" hidden="false" customHeight="false" outlineLevel="0" collapsed="false">
      <c r="A18" s="3" t="s">
        <v>3629</v>
      </c>
      <c r="B18" s="4" t="s">
        <v>3630</v>
      </c>
    </row>
    <row r="19" customFormat="false" ht="15" hidden="false" customHeight="false" outlineLevel="0" collapsed="false">
      <c r="A19" s="3" t="s">
        <v>3631</v>
      </c>
      <c r="B19" s="4" t="s">
        <v>3632</v>
      </c>
    </row>
    <row r="20" customFormat="false" ht="15" hidden="false" customHeight="false" outlineLevel="0" collapsed="false">
      <c r="A20" s="3" t="s">
        <v>3633</v>
      </c>
      <c r="B20" s="4" t="s">
        <v>3634</v>
      </c>
    </row>
    <row r="21" customFormat="false" ht="15" hidden="false" customHeight="false" outlineLevel="0" collapsed="false">
      <c r="A21" s="3" t="s">
        <v>3635</v>
      </c>
      <c r="B21" s="4" t="s">
        <v>3636</v>
      </c>
    </row>
    <row r="22" customFormat="false" ht="15" hidden="false" customHeight="false" outlineLevel="0" collapsed="false">
      <c r="A22" s="3" t="s">
        <v>3637</v>
      </c>
      <c r="B22" s="4" t="s">
        <v>3638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40"/>
    <col collapsed="false" customWidth="true" hidden="false" outlineLevel="0" max="4" min="4" style="0" width="12"/>
    <col collapsed="false" customWidth="true" hidden="false" outlineLevel="0" max="5" min="5" style="0" width="70"/>
  </cols>
  <sheetData>
    <row r="1" customFormat="false" ht="19.7" hidden="false" customHeight="false" outlineLevel="0" collapsed="false">
      <c r="A1" s="1" t="s">
        <v>3639</v>
      </c>
    </row>
    <row r="2" customFormat="false" ht="15" hidden="false" customHeight="false" outlineLevel="0" collapsed="false">
      <c r="A2" s="2" t="s">
        <v>3640</v>
      </c>
    </row>
    <row r="3" customFormat="false" ht="15" hidden="false" customHeight="false" outlineLevel="0" collapsed="false">
      <c r="A3" s="7" t="s">
        <v>3641</v>
      </c>
      <c r="B3" s="7" t="s">
        <v>3642</v>
      </c>
      <c r="C3" s="7" t="s">
        <v>12</v>
      </c>
      <c r="D3" s="7" t="s">
        <v>3643</v>
      </c>
    </row>
    <row r="4" customFormat="false" ht="15" hidden="false" customHeight="false" outlineLevel="0" collapsed="false">
      <c r="A4" s="8" t="s">
        <v>3644</v>
      </c>
      <c r="B4" s="8" t="s">
        <v>3645</v>
      </c>
      <c r="C4" s="8" t="s">
        <v>3646</v>
      </c>
      <c r="D4" s="62" t="s">
        <v>3647</v>
      </c>
    </row>
    <row r="5" customFormat="false" ht="15" hidden="false" customHeight="false" outlineLevel="0" collapsed="false">
      <c r="A5" s="9" t="s">
        <v>3648</v>
      </c>
      <c r="B5" s="9" t="s">
        <v>3645</v>
      </c>
      <c r="C5" s="9" t="s">
        <v>3649</v>
      </c>
      <c r="D5" s="62" t="s">
        <v>3647</v>
      </c>
    </row>
    <row r="6" customFormat="false" ht="15" hidden="false" customHeight="false" outlineLevel="0" collapsed="false">
      <c r="A6" s="8" t="s">
        <v>3650</v>
      </c>
      <c r="B6" s="8" t="s">
        <v>3645</v>
      </c>
      <c r="C6" s="8" t="s">
        <v>3651</v>
      </c>
      <c r="D6" s="61" t="s">
        <v>2927</v>
      </c>
    </row>
    <row r="7" customFormat="false" ht="15" hidden="false" customHeight="false" outlineLevel="0" collapsed="false">
      <c r="A7" s="9" t="s">
        <v>3652</v>
      </c>
      <c r="B7" s="9" t="s">
        <v>3653</v>
      </c>
      <c r="C7" s="9" t="s">
        <v>3646</v>
      </c>
      <c r="D7" s="62" t="s">
        <v>3647</v>
      </c>
    </row>
    <row r="8" customFormat="false" ht="15" hidden="false" customHeight="false" outlineLevel="0" collapsed="false">
      <c r="A8" s="8" t="s">
        <v>3654</v>
      </c>
      <c r="B8" s="8" t="s">
        <v>3653</v>
      </c>
      <c r="C8" s="8" t="s">
        <v>3649</v>
      </c>
      <c r="D8" s="62" t="s">
        <v>3647</v>
      </c>
    </row>
    <row r="9" customFormat="false" ht="15" hidden="false" customHeight="false" outlineLevel="0" collapsed="false">
      <c r="A9" s="9" t="s">
        <v>3655</v>
      </c>
      <c r="B9" s="9" t="s">
        <v>3653</v>
      </c>
      <c r="C9" s="9" t="s">
        <v>3651</v>
      </c>
      <c r="D9" s="61" t="s">
        <v>2927</v>
      </c>
    </row>
    <row r="10" customFormat="false" ht="15" hidden="false" customHeight="false" outlineLevel="0" collapsed="false">
      <c r="A10" s="8" t="s">
        <v>3656</v>
      </c>
      <c r="B10" s="8" t="s">
        <v>3657</v>
      </c>
      <c r="C10" s="8" t="s">
        <v>3646</v>
      </c>
      <c r="D10" s="62" t="s">
        <v>3647</v>
      </c>
    </row>
    <row r="11" customFormat="false" ht="15" hidden="false" customHeight="false" outlineLevel="0" collapsed="false">
      <c r="A11" s="9" t="s">
        <v>3658</v>
      </c>
      <c r="B11" s="9" t="s">
        <v>3657</v>
      </c>
      <c r="C11" s="9" t="s">
        <v>3649</v>
      </c>
      <c r="D11" s="62" t="s">
        <v>3647</v>
      </c>
    </row>
    <row r="12" customFormat="false" ht="15" hidden="false" customHeight="false" outlineLevel="0" collapsed="false">
      <c r="A12" s="8" t="s">
        <v>3659</v>
      </c>
      <c r="B12" s="8" t="s">
        <v>3660</v>
      </c>
      <c r="C12" s="8" t="s">
        <v>3661</v>
      </c>
      <c r="D12" s="62" t="s">
        <v>3647</v>
      </c>
    </row>
    <row r="13" customFormat="false" ht="15" hidden="false" customHeight="false" outlineLevel="0" collapsed="false">
      <c r="A13" s="9" t="s">
        <v>3662</v>
      </c>
      <c r="B13" s="9" t="s">
        <v>3660</v>
      </c>
      <c r="C13" s="9" t="s">
        <v>3663</v>
      </c>
      <c r="D13" s="61" t="s">
        <v>2927</v>
      </c>
    </row>
    <row r="14" customFormat="false" ht="15" hidden="false" customHeight="false" outlineLevel="0" collapsed="false">
      <c r="A14" s="8" t="s">
        <v>3664</v>
      </c>
      <c r="B14" s="8" t="s">
        <v>3665</v>
      </c>
      <c r="C14" s="8" t="s">
        <v>3666</v>
      </c>
      <c r="D14" s="62" t="s">
        <v>3647</v>
      </c>
    </row>
    <row r="15" customFormat="false" ht="15" hidden="false" customHeight="false" outlineLevel="0" collapsed="false">
      <c r="A15" s="9" t="s">
        <v>3667</v>
      </c>
      <c r="B15" s="9" t="s">
        <v>3668</v>
      </c>
      <c r="C15" s="9" t="s">
        <v>3651</v>
      </c>
      <c r="D15" s="61" t="s">
        <v>2927</v>
      </c>
    </row>
    <row r="16" customFormat="false" ht="15" hidden="false" customHeight="false" outlineLevel="0" collapsed="false">
      <c r="A16" s="8" t="s">
        <v>3669</v>
      </c>
      <c r="B16" s="8" t="s">
        <v>3670</v>
      </c>
      <c r="C16" s="8" t="s">
        <v>3671</v>
      </c>
      <c r="D16" s="61" t="s">
        <v>2927</v>
      </c>
    </row>
    <row r="17" customFormat="false" ht="15" hidden="false" customHeight="false" outlineLevel="0" collapsed="false">
      <c r="A17" s="28" t="s">
        <v>3672</v>
      </c>
    </row>
    <row r="19" customFormat="false" ht="15" hidden="false" customHeight="false" outlineLevel="0" collapsed="false">
      <c r="A19" s="5" t="s">
        <v>3673</v>
      </c>
      <c r="B19" s="6"/>
      <c r="C19" s="6"/>
      <c r="D19" s="6"/>
    </row>
    <row r="20" customFormat="false" ht="15" hidden="false" customHeight="false" outlineLevel="0" collapsed="false">
      <c r="A20" s="7" t="s">
        <v>124</v>
      </c>
      <c r="B20" s="7" t="s">
        <v>3674</v>
      </c>
      <c r="C20" s="7" t="s">
        <v>3132</v>
      </c>
    </row>
    <row r="21" customFormat="false" ht="35.05" hidden="false" customHeight="false" outlineLevel="0" collapsed="false">
      <c r="A21" s="8" t="s">
        <v>3675</v>
      </c>
      <c r="B21" s="8" t="s">
        <v>3676</v>
      </c>
      <c r="C21" s="8" t="s">
        <v>3677</v>
      </c>
    </row>
    <row r="22" customFormat="false" ht="35.05" hidden="false" customHeight="false" outlineLevel="0" collapsed="false">
      <c r="A22" s="9" t="s">
        <v>3678</v>
      </c>
      <c r="B22" s="9" t="s">
        <v>3679</v>
      </c>
      <c r="C22" s="9" t="s">
        <v>3680</v>
      </c>
    </row>
    <row r="23" customFormat="false" ht="35.05" hidden="false" customHeight="false" outlineLevel="0" collapsed="false">
      <c r="A23" s="8" t="s">
        <v>3681</v>
      </c>
      <c r="B23" s="8" t="s">
        <v>3682</v>
      </c>
      <c r="C23" s="8" t="s">
        <v>3683</v>
      </c>
    </row>
    <row r="24" customFormat="false" ht="35.05" hidden="false" customHeight="false" outlineLevel="0" collapsed="false">
      <c r="A24" s="9" t="s">
        <v>3684</v>
      </c>
      <c r="B24" s="9" t="s">
        <v>3685</v>
      </c>
      <c r="C24" s="9" t="s">
        <v>3686</v>
      </c>
    </row>
    <row r="25" customFormat="false" ht="35.05" hidden="false" customHeight="false" outlineLevel="0" collapsed="false">
      <c r="A25" s="8" t="s">
        <v>3687</v>
      </c>
      <c r="B25" s="8" t="s">
        <v>3688</v>
      </c>
      <c r="C25" s="8" t="s">
        <v>3689</v>
      </c>
    </row>
    <row r="26" customFormat="false" ht="35.05" hidden="false" customHeight="false" outlineLevel="0" collapsed="false">
      <c r="A26" s="9" t="s">
        <v>3690</v>
      </c>
      <c r="B26" s="9" t="s">
        <v>3691</v>
      </c>
      <c r="C26" s="9" t="s">
        <v>3692</v>
      </c>
    </row>
    <row r="27" customFormat="false" ht="23.85" hidden="false" customHeight="false" outlineLevel="0" collapsed="false">
      <c r="A27" s="8" t="s">
        <v>3693</v>
      </c>
      <c r="B27" s="8" t="s">
        <v>3598</v>
      </c>
      <c r="C27" s="8" t="s">
        <v>3694</v>
      </c>
    </row>
    <row r="28" customFormat="false" ht="23.85" hidden="false" customHeight="false" outlineLevel="0" collapsed="false">
      <c r="A28" s="9" t="s">
        <v>3695</v>
      </c>
      <c r="B28" s="9" t="s">
        <v>3696</v>
      </c>
      <c r="C28" s="9" t="s">
        <v>3697</v>
      </c>
    </row>
    <row r="29" customFormat="false" ht="23.85" hidden="false" customHeight="false" outlineLevel="0" collapsed="false">
      <c r="A29" s="8" t="s">
        <v>3698</v>
      </c>
      <c r="B29" s="8" t="s">
        <v>3699</v>
      </c>
      <c r="C29" s="8" t="s">
        <v>3700</v>
      </c>
    </row>
    <row r="30" customFormat="false" ht="23.85" hidden="false" customHeight="false" outlineLevel="0" collapsed="false">
      <c r="A30" s="9" t="s">
        <v>3701</v>
      </c>
      <c r="B30" s="9" t="s">
        <v>3702</v>
      </c>
      <c r="C30" s="9" t="s">
        <v>3703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 collapsed="false" customWidth="true" hidden="false" outlineLevel="0" max="3" min="3" style="0" width="60"/>
  </cols>
  <sheetData>
    <row r="1" customFormat="false" ht="19.7" hidden="false" customHeight="false" outlineLevel="0" collapsed="false">
      <c r="A1" s="1" t="s">
        <v>3704</v>
      </c>
    </row>
    <row r="3" customFormat="false" ht="15" hidden="false" customHeight="false" outlineLevel="0" collapsed="false">
      <c r="A3" s="5" t="s">
        <v>3705</v>
      </c>
      <c r="B3" s="6"/>
    </row>
    <row r="4" customFormat="false" ht="15" hidden="false" customHeight="false" outlineLevel="0" collapsed="false">
      <c r="A4" s="3" t="s">
        <v>3706</v>
      </c>
      <c r="B4" s="4" t="s">
        <v>3707</v>
      </c>
    </row>
    <row r="5" customFormat="false" ht="15" hidden="false" customHeight="false" outlineLevel="0" collapsed="false">
      <c r="A5" s="3" t="s">
        <v>3708</v>
      </c>
      <c r="B5" s="4" t="s">
        <v>3709</v>
      </c>
    </row>
    <row r="6" customFormat="false" ht="15" hidden="false" customHeight="false" outlineLevel="0" collapsed="false">
      <c r="A6" s="3" t="s">
        <v>3710</v>
      </c>
      <c r="B6" s="4" t="s">
        <v>3711</v>
      </c>
    </row>
    <row r="7" customFormat="false" ht="15" hidden="false" customHeight="false" outlineLevel="0" collapsed="false">
      <c r="A7" s="3" t="s">
        <v>1112</v>
      </c>
      <c r="B7" s="4" t="s">
        <v>3712</v>
      </c>
    </row>
    <row r="8" customFormat="false" ht="15" hidden="false" customHeight="false" outlineLevel="0" collapsed="false">
      <c r="A8" s="3" t="s">
        <v>3713</v>
      </c>
      <c r="B8" s="4" t="s">
        <v>3714</v>
      </c>
    </row>
    <row r="9" customFormat="false" ht="15" hidden="false" customHeight="false" outlineLevel="0" collapsed="false">
      <c r="A9" s="3" t="s">
        <v>3715</v>
      </c>
      <c r="B9" s="4" t="s">
        <v>3716</v>
      </c>
    </row>
    <row r="11" customFormat="false" ht="15" hidden="false" customHeight="false" outlineLevel="0" collapsed="false">
      <c r="A11" s="5" t="s">
        <v>3717</v>
      </c>
      <c r="B11" s="6"/>
    </row>
    <row r="12" customFormat="false" ht="15" hidden="false" customHeight="false" outlineLevel="0" collapsed="false">
      <c r="A12" s="3" t="s">
        <v>3718</v>
      </c>
      <c r="B12" s="4" t="s">
        <v>3719</v>
      </c>
    </row>
    <row r="13" customFormat="false" ht="15" hidden="false" customHeight="false" outlineLevel="0" collapsed="false">
      <c r="A13" s="3" t="s">
        <v>3720</v>
      </c>
      <c r="B13" s="4" t="s">
        <v>3721</v>
      </c>
    </row>
    <row r="14" customFormat="false" ht="15" hidden="false" customHeight="false" outlineLevel="0" collapsed="false">
      <c r="A14" s="3" t="s">
        <v>3722</v>
      </c>
      <c r="B14" s="4" t="s">
        <v>3723</v>
      </c>
    </row>
    <row r="15" customFormat="false" ht="15" hidden="false" customHeight="false" outlineLevel="0" collapsed="false">
      <c r="A15" s="3" t="s">
        <v>3724</v>
      </c>
      <c r="B15" s="4" t="s">
        <v>3725</v>
      </c>
    </row>
    <row r="16" customFormat="false" ht="15" hidden="false" customHeight="false" outlineLevel="0" collapsed="false">
      <c r="A16" s="3" t="s">
        <v>3619</v>
      </c>
      <c r="B16" s="4" t="s">
        <v>3726</v>
      </c>
    </row>
    <row r="18" customFormat="false" ht="15" hidden="false" customHeight="false" outlineLevel="0" collapsed="false">
      <c r="A18" s="5" t="s">
        <v>3727</v>
      </c>
      <c r="B18" s="6"/>
    </row>
    <row r="19" customFormat="false" ht="15" hidden="false" customHeight="false" outlineLevel="0" collapsed="false">
      <c r="A19" s="3" t="s">
        <v>3728</v>
      </c>
      <c r="B19" s="4" t="s">
        <v>3729</v>
      </c>
    </row>
    <row r="20" customFormat="false" ht="15" hidden="false" customHeight="false" outlineLevel="0" collapsed="false">
      <c r="A20" s="3" t="s">
        <v>3730</v>
      </c>
      <c r="B20" s="4" t="s">
        <v>3731</v>
      </c>
    </row>
    <row r="21" customFormat="false" ht="15" hidden="false" customHeight="false" outlineLevel="0" collapsed="false">
      <c r="A21" s="3" t="s">
        <v>2513</v>
      </c>
      <c r="B21" s="4" t="s">
        <v>3732</v>
      </c>
    </row>
    <row r="22" customFormat="false" ht="15" hidden="false" customHeight="false" outlineLevel="0" collapsed="false">
      <c r="A22" s="3" t="s">
        <v>2516</v>
      </c>
      <c r="B22" s="4" t="s">
        <v>3733</v>
      </c>
    </row>
    <row r="23" customFormat="false" ht="15" hidden="false" customHeight="false" outlineLevel="0" collapsed="false">
      <c r="A23" s="3" t="s">
        <v>3734</v>
      </c>
      <c r="B23" s="4" t="s">
        <v>3735</v>
      </c>
    </row>
    <row r="25" customFormat="false" ht="15" hidden="false" customHeight="false" outlineLevel="0" collapsed="false">
      <c r="A25" s="5" t="s">
        <v>1110</v>
      </c>
      <c r="B25" s="6"/>
    </row>
    <row r="26" customFormat="false" ht="15" hidden="false" customHeight="false" outlineLevel="0" collapsed="false">
      <c r="A26" s="7" t="s">
        <v>1112</v>
      </c>
      <c r="B26" s="7" t="s">
        <v>1426</v>
      </c>
      <c r="C26" s="7" t="s">
        <v>3720</v>
      </c>
    </row>
    <row r="27" customFormat="false" ht="15" hidden="false" customHeight="false" outlineLevel="0" collapsed="false">
      <c r="A27" s="8" t="s">
        <v>3736</v>
      </c>
      <c r="B27" s="8" t="s">
        <v>3737</v>
      </c>
      <c r="C27" s="8" t="s">
        <v>3738</v>
      </c>
    </row>
    <row r="28" customFormat="false" ht="15" hidden="false" customHeight="false" outlineLevel="0" collapsed="false">
      <c r="A28" s="9" t="s">
        <v>3739</v>
      </c>
      <c r="B28" s="9" t="s">
        <v>3740</v>
      </c>
      <c r="C28" s="9" t="s">
        <v>3741</v>
      </c>
    </row>
    <row r="29" customFormat="false" ht="15" hidden="false" customHeight="false" outlineLevel="0" collapsed="false">
      <c r="A29" s="8" t="s">
        <v>3742</v>
      </c>
      <c r="B29" s="8" t="s">
        <v>3743</v>
      </c>
      <c r="C29" s="8" t="s">
        <v>3744</v>
      </c>
    </row>
    <row r="30" customFormat="false" ht="15" hidden="false" customHeight="false" outlineLevel="0" collapsed="false">
      <c r="A30" s="9" t="s">
        <v>3745</v>
      </c>
      <c r="B30" s="9" t="s">
        <v>3746</v>
      </c>
      <c r="C30" s="9" t="s">
        <v>3747</v>
      </c>
    </row>
    <row r="31" customFormat="false" ht="15" hidden="false" customHeight="false" outlineLevel="0" collapsed="false">
      <c r="A31" s="8" t="s">
        <v>3748</v>
      </c>
      <c r="B31" s="8" t="s">
        <v>3749</v>
      </c>
      <c r="C31" s="8" t="s">
        <v>3750</v>
      </c>
    </row>
    <row r="32" customFormat="false" ht="15" hidden="false" customHeight="false" outlineLevel="0" collapsed="false">
      <c r="A32" s="9" t="s">
        <v>3751</v>
      </c>
      <c r="B32" s="9" t="s">
        <v>3752</v>
      </c>
      <c r="C32" s="9" t="s">
        <v>3753</v>
      </c>
    </row>
    <row r="33" customFormat="false" ht="15" hidden="false" customHeight="false" outlineLevel="0" collapsed="false">
      <c r="A33" s="8" t="s">
        <v>3754</v>
      </c>
      <c r="B33" s="8" t="s">
        <v>3755</v>
      </c>
      <c r="C33" s="8" t="s">
        <v>3756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3757</v>
      </c>
    </row>
    <row r="3" customFormat="false" ht="15" hidden="false" customHeight="false" outlineLevel="0" collapsed="false">
      <c r="A3" s="5" t="s">
        <v>1076</v>
      </c>
      <c r="B3" s="6"/>
    </row>
    <row r="4" customFormat="false" ht="23.85" hidden="false" customHeight="false" outlineLevel="0" collapsed="false">
      <c r="A4" s="3" t="s">
        <v>3758</v>
      </c>
      <c r="B4" s="4" t="s">
        <v>3759</v>
      </c>
    </row>
    <row r="5" customFormat="false" ht="15" hidden="false" customHeight="false" outlineLevel="0" collapsed="false">
      <c r="A5" s="3" t="s">
        <v>3760</v>
      </c>
      <c r="B5" s="4" t="s">
        <v>3761</v>
      </c>
    </row>
    <row r="6" customFormat="false" ht="15" hidden="false" customHeight="false" outlineLevel="0" collapsed="false">
      <c r="A6" s="3" t="s">
        <v>3762</v>
      </c>
      <c r="B6" s="4" t="s">
        <v>3763</v>
      </c>
    </row>
    <row r="8" customFormat="false" ht="15" hidden="false" customHeight="false" outlineLevel="0" collapsed="false">
      <c r="A8" s="5" t="s">
        <v>539</v>
      </c>
      <c r="B8" s="6"/>
    </row>
    <row r="9" customFormat="false" ht="15" hidden="false" customHeight="false" outlineLevel="0" collapsed="false">
      <c r="A9" s="3" t="s">
        <v>3764</v>
      </c>
      <c r="B9" s="4" t="s">
        <v>3765</v>
      </c>
    </row>
    <row r="10" customFormat="false" ht="15" hidden="false" customHeight="false" outlineLevel="0" collapsed="false">
      <c r="A10" s="3" t="s">
        <v>3766</v>
      </c>
      <c r="B10" s="4" t="s">
        <v>3767</v>
      </c>
    </row>
    <row r="11" customFormat="false" ht="15" hidden="false" customHeight="false" outlineLevel="0" collapsed="false">
      <c r="A11" s="3" t="s">
        <v>3768</v>
      </c>
      <c r="B11" s="4" t="s">
        <v>3769</v>
      </c>
    </row>
    <row r="12" customFormat="false" ht="15" hidden="false" customHeight="false" outlineLevel="0" collapsed="false">
      <c r="A12" s="3" t="s">
        <v>1102</v>
      </c>
      <c r="B12" s="4" t="s">
        <v>3770</v>
      </c>
    </row>
    <row r="13" customFormat="false" ht="15" hidden="false" customHeight="false" outlineLevel="0" collapsed="false">
      <c r="A13" s="3" t="s">
        <v>2531</v>
      </c>
      <c r="B13" s="4" t="s">
        <v>3771</v>
      </c>
    </row>
    <row r="15" customFormat="false" ht="15" hidden="false" customHeight="false" outlineLevel="0" collapsed="false">
      <c r="A15" s="5" t="s">
        <v>3772</v>
      </c>
      <c r="B15" s="6"/>
    </row>
    <row r="16" customFormat="false" ht="15" hidden="false" customHeight="false" outlineLevel="0" collapsed="false">
      <c r="A16" s="3" t="s">
        <v>3773</v>
      </c>
      <c r="B16" s="4" t="s">
        <v>3774</v>
      </c>
    </row>
    <row r="17" customFormat="false" ht="15" hidden="false" customHeight="false" outlineLevel="0" collapsed="false">
      <c r="A17" s="3" t="s">
        <v>3775</v>
      </c>
      <c r="B17" s="4" t="s">
        <v>3776</v>
      </c>
    </row>
    <row r="18" customFormat="false" ht="15" hidden="false" customHeight="false" outlineLevel="0" collapsed="false">
      <c r="A18" s="3" t="s">
        <v>3777</v>
      </c>
      <c r="B18" s="4" t="s">
        <v>3778</v>
      </c>
    </row>
    <row r="19" customFormat="false" ht="15" hidden="false" customHeight="false" outlineLevel="0" collapsed="false">
      <c r="A19" s="3" t="s">
        <v>3779</v>
      </c>
      <c r="B19" s="4" t="s">
        <v>3780</v>
      </c>
    </row>
    <row r="20" customFormat="false" ht="15" hidden="false" customHeight="false" outlineLevel="0" collapsed="false">
      <c r="A20" s="3" t="s">
        <v>3781</v>
      </c>
      <c r="B20" s="4" t="s">
        <v>3782</v>
      </c>
    </row>
    <row r="22" customFormat="false" ht="15" hidden="false" customHeight="false" outlineLevel="0" collapsed="false">
      <c r="A22" s="5" t="s">
        <v>3783</v>
      </c>
      <c r="B22" s="6"/>
    </row>
    <row r="23" customFormat="false" ht="15" hidden="false" customHeight="false" outlineLevel="0" collapsed="false">
      <c r="A23" s="3" t="s">
        <v>3784</v>
      </c>
      <c r="B23" s="4" t="s">
        <v>3785</v>
      </c>
    </row>
    <row r="24" customFormat="false" ht="15" hidden="false" customHeight="false" outlineLevel="0" collapsed="false">
      <c r="A24" s="3" t="s">
        <v>3786</v>
      </c>
      <c r="B24" s="4" t="s">
        <v>3787</v>
      </c>
    </row>
    <row r="25" customFormat="false" ht="15" hidden="false" customHeight="false" outlineLevel="0" collapsed="false">
      <c r="A25" s="3" t="s">
        <v>3788</v>
      </c>
      <c r="B25" s="4" t="s">
        <v>3789</v>
      </c>
    </row>
    <row r="26" customFormat="false" ht="15" hidden="false" customHeight="false" outlineLevel="0" collapsed="false">
      <c r="A26" s="3" t="s">
        <v>3790</v>
      </c>
      <c r="B26" s="4" t="s">
        <v>3791</v>
      </c>
    </row>
    <row r="27" customFormat="false" ht="15" hidden="false" customHeight="false" outlineLevel="0" collapsed="false">
      <c r="A27" s="3" t="s">
        <v>3792</v>
      </c>
      <c r="B27" s="4" t="s">
        <v>3793</v>
      </c>
    </row>
    <row r="29" customFormat="false" ht="15" hidden="false" customHeight="false" outlineLevel="0" collapsed="false">
      <c r="A29" s="5" t="s">
        <v>3794</v>
      </c>
      <c r="B29" s="6"/>
    </row>
    <row r="30" customFormat="false" ht="15" hidden="false" customHeight="false" outlineLevel="0" collapsed="false">
      <c r="A30" s="3" t="s">
        <v>3795</v>
      </c>
      <c r="B30" s="4" t="s">
        <v>3796</v>
      </c>
    </row>
    <row r="31" customFormat="false" ht="15" hidden="false" customHeight="false" outlineLevel="0" collapsed="false">
      <c r="A31" s="3" t="s">
        <v>8</v>
      </c>
      <c r="B31" s="4" t="s">
        <v>3797</v>
      </c>
    </row>
    <row r="32" customFormat="false" ht="15" hidden="false" customHeight="false" outlineLevel="0" collapsed="false">
      <c r="A32" s="3" t="s">
        <v>3784</v>
      </c>
      <c r="B32" s="4" t="s">
        <v>3798</v>
      </c>
    </row>
    <row r="33" customFormat="false" ht="15" hidden="false" customHeight="false" outlineLevel="0" collapsed="false">
      <c r="A33" s="3" t="s">
        <v>3799</v>
      </c>
      <c r="B33" s="4" t="s">
        <v>3800</v>
      </c>
    </row>
    <row r="34" customFormat="false" ht="15" hidden="false" customHeight="false" outlineLevel="0" collapsed="false">
      <c r="A34" s="3" t="s">
        <v>3449</v>
      </c>
      <c r="B34" s="4" t="s">
        <v>3801</v>
      </c>
    </row>
    <row r="35" customFormat="false" ht="15" hidden="false" customHeight="false" outlineLevel="0" collapsed="false">
      <c r="A35" s="3" t="s">
        <v>3802</v>
      </c>
      <c r="B35" s="4" t="s">
        <v>3803</v>
      </c>
    </row>
    <row r="37" customFormat="false" ht="15" hidden="false" customHeight="false" outlineLevel="0" collapsed="false">
      <c r="A37" s="5" t="s">
        <v>2073</v>
      </c>
      <c r="B37" s="6"/>
    </row>
    <row r="38" customFormat="false" ht="15" hidden="false" customHeight="false" outlineLevel="0" collapsed="false">
      <c r="A38" s="3" t="s">
        <v>3804</v>
      </c>
      <c r="B38" s="4" t="s">
        <v>3805</v>
      </c>
    </row>
    <row r="39" customFormat="false" ht="15" hidden="false" customHeight="false" outlineLevel="0" collapsed="false">
      <c r="A39" s="3" t="s">
        <v>3806</v>
      </c>
      <c r="B39" s="4" t="s">
        <v>3807</v>
      </c>
    </row>
    <row r="40" customFormat="false" ht="15" hidden="false" customHeight="false" outlineLevel="0" collapsed="false">
      <c r="A40" s="3" t="s">
        <v>3241</v>
      </c>
      <c r="B40" s="4" t="s">
        <v>3808</v>
      </c>
    </row>
    <row r="41" customFormat="false" ht="15" hidden="false" customHeight="false" outlineLevel="0" collapsed="false">
      <c r="A41" s="3" t="s">
        <v>3809</v>
      </c>
      <c r="B41" s="4" t="s">
        <v>3810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40"/>
    <col collapsed="false" customWidth="true" hidden="false" outlineLevel="0" max="4" min="4" style="0" width="70"/>
    <col collapsed="false" customWidth="true" hidden="false" outlineLevel="0" max="5" min="5" style="0" width="80"/>
  </cols>
  <sheetData>
    <row r="1" customFormat="false" ht="19.7" hidden="false" customHeight="false" outlineLevel="0" collapsed="false">
      <c r="A1" s="1" t="s">
        <v>3811</v>
      </c>
    </row>
    <row r="2" customFormat="false" ht="15" hidden="false" customHeight="false" outlineLevel="0" collapsed="false">
      <c r="A2" s="2" t="s">
        <v>3812</v>
      </c>
    </row>
    <row r="3" customFormat="false" ht="15" hidden="false" customHeight="false" outlineLevel="0" collapsed="false">
      <c r="A3" s="5" t="s">
        <v>2188</v>
      </c>
      <c r="B3" s="6"/>
      <c r="C3" s="6"/>
      <c r="D3" s="6"/>
    </row>
    <row r="4" customFormat="false" ht="15" hidden="false" customHeight="false" outlineLevel="0" collapsed="false">
      <c r="A4" s="7" t="s">
        <v>124</v>
      </c>
      <c r="B4" s="7" t="s">
        <v>2625</v>
      </c>
      <c r="C4" s="7" t="s">
        <v>1962</v>
      </c>
    </row>
    <row r="5" customFormat="false" ht="46.25" hidden="false" customHeight="false" outlineLevel="0" collapsed="false">
      <c r="A5" s="8" t="s">
        <v>3813</v>
      </c>
      <c r="B5" s="8" t="s">
        <v>3814</v>
      </c>
      <c r="C5" s="8" t="s">
        <v>3815</v>
      </c>
    </row>
    <row r="6" customFormat="false" ht="35.05" hidden="false" customHeight="false" outlineLevel="0" collapsed="false">
      <c r="A6" s="9" t="s">
        <v>3816</v>
      </c>
      <c r="B6" s="9" t="s">
        <v>3817</v>
      </c>
      <c r="C6" s="9" t="s">
        <v>3818</v>
      </c>
    </row>
    <row r="7" customFormat="false" ht="23.85" hidden="false" customHeight="false" outlineLevel="0" collapsed="false">
      <c r="A7" s="8" t="s">
        <v>3819</v>
      </c>
      <c r="B7" s="8" t="s">
        <v>3820</v>
      </c>
      <c r="C7" s="8" t="s">
        <v>3821</v>
      </c>
    </row>
    <row r="8" customFormat="false" ht="46.25" hidden="false" customHeight="false" outlineLevel="0" collapsed="false">
      <c r="A8" s="9" t="s">
        <v>3822</v>
      </c>
      <c r="B8" s="9" t="s">
        <v>594</v>
      </c>
      <c r="C8" s="9" t="s">
        <v>3823</v>
      </c>
    </row>
    <row r="9" customFormat="false" ht="35.05" hidden="false" customHeight="false" outlineLevel="0" collapsed="false">
      <c r="A9" s="8" t="s">
        <v>3824</v>
      </c>
      <c r="B9" s="8" t="s">
        <v>3825</v>
      </c>
      <c r="C9" s="8" t="s">
        <v>3826</v>
      </c>
    </row>
    <row r="10" customFormat="false" ht="35.05" hidden="false" customHeight="false" outlineLevel="0" collapsed="false">
      <c r="A10" s="9" t="s">
        <v>3827</v>
      </c>
      <c r="B10" s="9" t="s">
        <v>3828</v>
      </c>
      <c r="C10" s="9" t="s">
        <v>3829</v>
      </c>
    </row>
    <row r="11" customFormat="false" ht="35.05" hidden="false" customHeight="false" outlineLevel="0" collapsed="false">
      <c r="A11" s="8" t="s">
        <v>3830</v>
      </c>
      <c r="B11" s="8" t="s">
        <v>3831</v>
      </c>
      <c r="C11" s="8" t="s">
        <v>3832</v>
      </c>
    </row>
    <row r="12" customFormat="false" ht="23.85" hidden="false" customHeight="false" outlineLevel="0" collapsed="false">
      <c r="A12" s="9" t="s">
        <v>3833</v>
      </c>
      <c r="B12" s="9" t="s">
        <v>3834</v>
      </c>
      <c r="C12" s="9" t="s">
        <v>3835</v>
      </c>
    </row>
    <row r="14" customFormat="false" ht="15" hidden="false" customHeight="false" outlineLevel="0" collapsed="false">
      <c r="A14" s="5" t="s">
        <v>3836</v>
      </c>
      <c r="B14" s="6"/>
      <c r="C14" s="6"/>
      <c r="D14" s="6"/>
    </row>
    <row r="15" customFormat="false" ht="15" hidden="false" customHeight="false" outlineLevel="0" collapsed="false">
      <c r="A15" s="7" t="s">
        <v>3458</v>
      </c>
      <c r="B15" s="7" t="s">
        <v>12</v>
      </c>
      <c r="C15" s="7" t="s">
        <v>3837</v>
      </c>
      <c r="D15" s="7" t="s">
        <v>1531</v>
      </c>
    </row>
    <row r="16" customFormat="false" ht="23.85" hidden="false" customHeight="false" outlineLevel="0" collapsed="false">
      <c r="A16" s="8" t="s">
        <v>3838</v>
      </c>
      <c r="B16" s="8" t="s">
        <v>3839</v>
      </c>
      <c r="C16" s="8" t="s">
        <v>3840</v>
      </c>
      <c r="D16" s="8" t="s">
        <v>3841</v>
      </c>
    </row>
    <row r="17" customFormat="false" ht="23.85" hidden="false" customHeight="false" outlineLevel="0" collapsed="false">
      <c r="A17" s="9" t="s">
        <v>3842</v>
      </c>
      <c r="B17" s="9" t="s">
        <v>3843</v>
      </c>
      <c r="C17" s="9" t="s">
        <v>3844</v>
      </c>
      <c r="D17" s="9" t="s">
        <v>3845</v>
      </c>
    </row>
    <row r="18" customFormat="false" ht="23.85" hidden="false" customHeight="false" outlineLevel="0" collapsed="false">
      <c r="A18" s="8" t="s">
        <v>3846</v>
      </c>
      <c r="B18" s="8" t="s">
        <v>3847</v>
      </c>
      <c r="C18" s="8" t="s">
        <v>3848</v>
      </c>
      <c r="D18" s="8" t="s">
        <v>3849</v>
      </c>
    </row>
    <row r="19" customFormat="false" ht="15" hidden="false" customHeight="false" outlineLevel="0" collapsed="false">
      <c r="A19" s="9" t="s">
        <v>3850</v>
      </c>
      <c r="B19" s="9" t="s">
        <v>574</v>
      </c>
      <c r="C19" s="9" t="s">
        <v>3851</v>
      </c>
      <c r="D19" s="9" t="s">
        <v>3852</v>
      </c>
    </row>
    <row r="20" customFormat="false" ht="23.85" hidden="false" customHeight="false" outlineLevel="0" collapsed="false">
      <c r="A20" s="8" t="s">
        <v>3853</v>
      </c>
      <c r="B20" s="8" t="s">
        <v>3854</v>
      </c>
      <c r="C20" s="8" t="s">
        <v>3855</v>
      </c>
      <c r="D20" s="8" t="s">
        <v>3856</v>
      </c>
    </row>
    <row r="21" customFormat="false" ht="23.85" hidden="false" customHeight="false" outlineLevel="0" collapsed="false">
      <c r="A21" s="9" t="s">
        <v>3857</v>
      </c>
      <c r="B21" s="9" t="s">
        <v>3858</v>
      </c>
      <c r="C21" s="9" t="s">
        <v>3859</v>
      </c>
      <c r="D21" s="9" t="s">
        <v>3860</v>
      </c>
    </row>
    <row r="22" customFormat="false" ht="23.85" hidden="false" customHeight="false" outlineLevel="0" collapsed="false">
      <c r="A22" s="8" t="s">
        <v>3861</v>
      </c>
      <c r="B22" s="8" t="s">
        <v>3862</v>
      </c>
      <c r="C22" s="8" t="s">
        <v>3863</v>
      </c>
      <c r="D22" s="8" t="s">
        <v>3864</v>
      </c>
    </row>
    <row r="23" customFormat="false" ht="23.85" hidden="false" customHeight="false" outlineLevel="0" collapsed="false">
      <c r="A23" s="9" t="s">
        <v>3865</v>
      </c>
      <c r="B23" s="9" t="s">
        <v>3866</v>
      </c>
      <c r="C23" s="9" t="s">
        <v>3867</v>
      </c>
      <c r="D23" s="9" t="s">
        <v>3868</v>
      </c>
    </row>
    <row r="24" customFormat="false" ht="15" hidden="false" customHeight="false" outlineLevel="0" collapsed="false">
      <c r="A24" s="8" t="s">
        <v>3869</v>
      </c>
      <c r="B24" s="8" t="s">
        <v>3870</v>
      </c>
      <c r="C24" s="8" t="s">
        <v>3871</v>
      </c>
      <c r="D24" s="8" t="s">
        <v>3872</v>
      </c>
    </row>
    <row r="26" customFormat="false" ht="15" hidden="false" customHeight="false" outlineLevel="0" collapsed="false">
      <c r="A26" s="5" t="s">
        <v>3873</v>
      </c>
      <c r="B26" s="6"/>
      <c r="C26" s="6"/>
      <c r="D26" s="6"/>
    </row>
    <row r="27" customFormat="false" ht="15" hidden="false" customHeight="false" outlineLevel="0" collapsed="false">
      <c r="A27" s="7" t="s">
        <v>2003</v>
      </c>
      <c r="B27" s="7" t="s">
        <v>3874</v>
      </c>
      <c r="C27" s="7" t="s">
        <v>3875</v>
      </c>
      <c r="D27" s="7" t="s">
        <v>2948</v>
      </c>
    </row>
    <row r="28" customFormat="false" ht="23.85" hidden="false" customHeight="false" outlineLevel="0" collapsed="false">
      <c r="A28" s="8" t="s">
        <v>3876</v>
      </c>
      <c r="B28" s="8" t="s">
        <v>3846</v>
      </c>
      <c r="C28" s="8" t="s">
        <v>3877</v>
      </c>
      <c r="D28" s="8" t="s">
        <v>3878</v>
      </c>
    </row>
    <row r="29" customFormat="false" ht="23.85" hidden="false" customHeight="false" outlineLevel="0" collapsed="false">
      <c r="A29" s="9" t="s">
        <v>3879</v>
      </c>
      <c r="B29" s="9" t="s">
        <v>3880</v>
      </c>
      <c r="C29" s="9" t="s">
        <v>3881</v>
      </c>
      <c r="D29" s="9" t="s">
        <v>3882</v>
      </c>
    </row>
    <row r="30" customFormat="false" ht="23.85" hidden="false" customHeight="false" outlineLevel="0" collapsed="false">
      <c r="A30" s="8" t="s">
        <v>3883</v>
      </c>
      <c r="B30" s="8" t="s">
        <v>3884</v>
      </c>
      <c r="C30" s="8" t="s">
        <v>3885</v>
      </c>
      <c r="D30" s="8" t="s">
        <v>3886</v>
      </c>
    </row>
    <row r="31" customFormat="false" ht="15" hidden="false" customHeight="false" outlineLevel="0" collapsed="false">
      <c r="A31" s="9" t="s">
        <v>3887</v>
      </c>
      <c r="B31" s="9" t="s">
        <v>3888</v>
      </c>
      <c r="C31" s="9" t="s">
        <v>3889</v>
      </c>
      <c r="D31" s="9" t="s">
        <v>3890</v>
      </c>
    </row>
    <row r="32" customFormat="false" ht="23.85" hidden="false" customHeight="false" outlineLevel="0" collapsed="false">
      <c r="A32" s="8" t="s">
        <v>3891</v>
      </c>
      <c r="B32" s="8" t="s">
        <v>3892</v>
      </c>
      <c r="C32" s="8" t="s">
        <v>3893</v>
      </c>
      <c r="D32" s="8" t="s">
        <v>3894</v>
      </c>
    </row>
    <row r="33" customFormat="false" ht="15" hidden="false" customHeight="false" outlineLevel="0" collapsed="false">
      <c r="A33" s="9" t="s">
        <v>3895</v>
      </c>
      <c r="B33" s="9" t="s">
        <v>3896</v>
      </c>
      <c r="C33" s="9" t="s">
        <v>3897</v>
      </c>
      <c r="D33" s="9" t="s">
        <v>3898</v>
      </c>
    </row>
    <row r="35" customFormat="false" ht="15" hidden="false" customHeight="false" outlineLevel="0" collapsed="false">
      <c r="A35" s="5" t="s">
        <v>3899</v>
      </c>
      <c r="B35" s="6"/>
      <c r="C35" s="6"/>
      <c r="D35" s="6"/>
    </row>
    <row r="36" customFormat="false" ht="15" hidden="false" customHeight="false" outlineLevel="0" collapsed="false">
      <c r="A36" s="7" t="s">
        <v>124</v>
      </c>
      <c r="B36" s="7" t="s">
        <v>1218</v>
      </c>
      <c r="C36" s="7" t="s">
        <v>2003</v>
      </c>
      <c r="D36" s="7" t="s">
        <v>3900</v>
      </c>
      <c r="E36" s="7" t="s">
        <v>1531</v>
      </c>
    </row>
    <row r="37" customFormat="false" ht="23.85" hidden="false" customHeight="false" outlineLevel="0" collapsed="false">
      <c r="A37" s="8" t="s">
        <v>3901</v>
      </c>
      <c r="B37" s="8" t="s">
        <v>3902</v>
      </c>
      <c r="C37" s="8" t="s">
        <v>3903</v>
      </c>
      <c r="D37" s="8" t="s">
        <v>2124</v>
      </c>
      <c r="E37" s="8" t="s">
        <v>3904</v>
      </c>
    </row>
    <row r="38" customFormat="false" ht="15" hidden="false" customHeight="false" outlineLevel="0" collapsed="false">
      <c r="A38" s="9" t="s">
        <v>3905</v>
      </c>
      <c r="B38" s="9" t="s">
        <v>147</v>
      </c>
      <c r="C38" s="9" t="s">
        <v>3903</v>
      </c>
      <c r="D38" s="9" t="s">
        <v>2124</v>
      </c>
      <c r="E38" s="9" t="s">
        <v>3906</v>
      </c>
    </row>
    <row r="39" customFormat="false" ht="15" hidden="false" customHeight="false" outlineLevel="0" collapsed="false">
      <c r="A39" s="8" t="s">
        <v>3907</v>
      </c>
      <c r="B39" s="8" t="s">
        <v>3908</v>
      </c>
      <c r="C39" s="8" t="s">
        <v>3903</v>
      </c>
      <c r="D39" s="8" t="s">
        <v>2124</v>
      </c>
      <c r="E39" s="8" t="s">
        <v>3909</v>
      </c>
    </row>
    <row r="40" customFormat="false" ht="15" hidden="false" customHeight="false" outlineLevel="0" collapsed="false">
      <c r="A40" s="9" t="s">
        <v>3910</v>
      </c>
      <c r="B40" s="9" t="s">
        <v>3911</v>
      </c>
      <c r="C40" s="9" t="s">
        <v>3903</v>
      </c>
      <c r="D40" s="9" t="s">
        <v>2124</v>
      </c>
      <c r="E40" s="9" t="s">
        <v>3912</v>
      </c>
    </row>
    <row r="41" customFormat="false" ht="15" hidden="false" customHeight="false" outlineLevel="0" collapsed="false">
      <c r="A41" s="8" t="s">
        <v>3913</v>
      </c>
      <c r="B41" s="8" t="s">
        <v>3914</v>
      </c>
      <c r="C41" s="8" t="s">
        <v>3903</v>
      </c>
      <c r="D41" s="8" t="s">
        <v>2124</v>
      </c>
      <c r="E41" s="8" t="s">
        <v>3915</v>
      </c>
    </row>
    <row r="42" customFormat="false" ht="15" hidden="false" customHeight="false" outlineLevel="0" collapsed="false">
      <c r="A42" s="9" t="s">
        <v>3916</v>
      </c>
      <c r="B42" s="9" t="s">
        <v>3917</v>
      </c>
      <c r="C42" s="9" t="s">
        <v>3903</v>
      </c>
      <c r="D42" s="9" t="s">
        <v>2124</v>
      </c>
      <c r="E42" s="9" t="s">
        <v>3918</v>
      </c>
    </row>
    <row r="43" customFormat="false" ht="15" hidden="false" customHeight="false" outlineLevel="0" collapsed="false">
      <c r="A43" s="8" t="s">
        <v>3919</v>
      </c>
      <c r="B43" s="8" t="s">
        <v>3920</v>
      </c>
      <c r="C43" s="8" t="s">
        <v>3903</v>
      </c>
      <c r="D43" s="8" t="s">
        <v>2124</v>
      </c>
      <c r="E43" s="8" t="s">
        <v>3921</v>
      </c>
    </row>
    <row r="44" customFormat="false" ht="15" hidden="false" customHeight="false" outlineLevel="0" collapsed="false">
      <c r="A44" s="9" t="s">
        <v>3922</v>
      </c>
      <c r="B44" s="9" t="s">
        <v>3923</v>
      </c>
      <c r="C44" s="9" t="s">
        <v>3903</v>
      </c>
      <c r="D44" s="9" t="s">
        <v>2124</v>
      </c>
      <c r="E44" s="9" t="s">
        <v>3924</v>
      </c>
    </row>
    <row r="45" customFormat="false" ht="15" hidden="false" customHeight="false" outlineLevel="0" collapsed="false">
      <c r="A45" s="8" t="s">
        <v>3925</v>
      </c>
      <c r="B45" s="8" t="s">
        <v>3926</v>
      </c>
      <c r="C45" s="8" t="s">
        <v>3903</v>
      </c>
      <c r="D45" s="8" t="s">
        <v>2124</v>
      </c>
      <c r="E45" s="8" t="s">
        <v>3927</v>
      </c>
    </row>
    <row r="46" customFormat="false" ht="15" hidden="false" customHeight="false" outlineLevel="0" collapsed="false">
      <c r="A46" s="9" t="s">
        <v>3928</v>
      </c>
      <c r="B46" s="9" t="s">
        <v>3929</v>
      </c>
      <c r="C46" s="9" t="s">
        <v>3903</v>
      </c>
      <c r="D46" s="9" t="s">
        <v>2124</v>
      </c>
      <c r="E46" s="9" t="s">
        <v>3930</v>
      </c>
    </row>
    <row r="47" customFormat="false" ht="15" hidden="false" customHeight="false" outlineLevel="0" collapsed="false">
      <c r="A47" s="8" t="s">
        <v>3931</v>
      </c>
      <c r="B47" s="8" t="s">
        <v>3932</v>
      </c>
      <c r="C47" s="8" t="s">
        <v>3903</v>
      </c>
      <c r="D47" s="8" t="s">
        <v>2124</v>
      </c>
      <c r="E47" s="8" t="s">
        <v>3933</v>
      </c>
    </row>
    <row r="48" customFormat="false" ht="15" hidden="false" customHeight="false" outlineLevel="0" collapsed="false">
      <c r="A48" s="9" t="s">
        <v>3934</v>
      </c>
      <c r="B48" s="9" t="s">
        <v>3935</v>
      </c>
      <c r="C48" s="9" t="s">
        <v>3903</v>
      </c>
      <c r="D48" s="9" t="s">
        <v>2124</v>
      </c>
      <c r="E48" s="9" t="s">
        <v>3936</v>
      </c>
    </row>
    <row r="49" customFormat="false" ht="15" hidden="false" customHeight="false" outlineLevel="0" collapsed="false">
      <c r="A49" s="8" t="s">
        <v>3937</v>
      </c>
      <c r="B49" s="8" t="s">
        <v>3938</v>
      </c>
      <c r="C49" s="8" t="s">
        <v>3903</v>
      </c>
      <c r="D49" s="8" t="s">
        <v>2124</v>
      </c>
      <c r="E49" s="8" t="s">
        <v>3939</v>
      </c>
    </row>
    <row r="50" customFormat="false" ht="15" hidden="false" customHeight="false" outlineLevel="0" collapsed="false">
      <c r="A50" s="9" t="s">
        <v>3940</v>
      </c>
      <c r="B50" s="9" t="s">
        <v>3941</v>
      </c>
      <c r="C50" s="9" t="s">
        <v>3903</v>
      </c>
      <c r="D50" s="9" t="s">
        <v>3942</v>
      </c>
      <c r="E50" s="9" t="s">
        <v>3943</v>
      </c>
    </row>
    <row r="51" customFormat="false" ht="15" hidden="false" customHeight="false" outlineLevel="0" collapsed="false">
      <c r="A51" s="8" t="s">
        <v>3944</v>
      </c>
      <c r="B51" s="8" t="s">
        <v>3945</v>
      </c>
      <c r="C51" s="8" t="s">
        <v>3903</v>
      </c>
      <c r="D51" s="8" t="s">
        <v>2124</v>
      </c>
      <c r="E51" s="8" t="s">
        <v>3946</v>
      </c>
    </row>
    <row r="52" customFormat="false" ht="15" hidden="false" customHeight="false" outlineLevel="0" collapsed="false">
      <c r="A52" s="9" t="s">
        <v>3947</v>
      </c>
      <c r="B52" s="9" t="s">
        <v>3948</v>
      </c>
      <c r="C52" s="9" t="s">
        <v>3903</v>
      </c>
      <c r="D52" s="9" t="s">
        <v>2124</v>
      </c>
      <c r="E52" s="9" t="s">
        <v>3949</v>
      </c>
    </row>
    <row r="53" customFormat="false" ht="15" hidden="false" customHeight="false" outlineLevel="0" collapsed="false">
      <c r="A53" s="8" t="s">
        <v>3950</v>
      </c>
      <c r="B53" s="8" t="s">
        <v>3951</v>
      </c>
      <c r="C53" s="8" t="s">
        <v>3903</v>
      </c>
      <c r="D53" s="8" t="s">
        <v>2124</v>
      </c>
      <c r="E53" s="8" t="s">
        <v>3952</v>
      </c>
    </row>
    <row r="54" customFormat="false" ht="15" hidden="false" customHeight="false" outlineLevel="0" collapsed="false">
      <c r="A54" s="9" t="s">
        <v>3953</v>
      </c>
      <c r="B54" s="9" t="s">
        <v>3351</v>
      </c>
      <c r="C54" s="9" t="s">
        <v>3903</v>
      </c>
      <c r="D54" s="9" t="s">
        <v>2124</v>
      </c>
      <c r="E54" s="9" t="s">
        <v>3954</v>
      </c>
    </row>
    <row r="55" customFormat="false" ht="15" hidden="false" customHeight="false" outlineLevel="0" collapsed="false">
      <c r="A55" s="8" t="s">
        <v>3955</v>
      </c>
      <c r="B55" s="8" t="s">
        <v>3956</v>
      </c>
      <c r="C55" s="8" t="s">
        <v>3957</v>
      </c>
      <c r="D55" s="8" t="s">
        <v>2124</v>
      </c>
      <c r="E55" s="8" t="s">
        <v>3958</v>
      </c>
    </row>
    <row r="56" customFormat="false" ht="15" hidden="false" customHeight="false" outlineLevel="0" collapsed="false">
      <c r="A56" s="9" t="s">
        <v>3959</v>
      </c>
      <c r="B56" s="9" t="s">
        <v>3960</v>
      </c>
      <c r="C56" s="9" t="s">
        <v>3957</v>
      </c>
      <c r="D56" s="9" t="s">
        <v>3961</v>
      </c>
      <c r="E56" s="9" t="s">
        <v>3962</v>
      </c>
    </row>
    <row r="57" customFormat="false" ht="15" hidden="false" customHeight="false" outlineLevel="0" collapsed="false">
      <c r="A57" s="8" t="s">
        <v>3963</v>
      </c>
      <c r="B57" s="8" t="s">
        <v>3964</v>
      </c>
      <c r="C57" s="8" t="s">
        <v>3957</v>
      </c>
      <c r="D57" s="8" t="s">
        <v>2124</v>
      </c>
      <c r="E57" s="8" t="s">
        <v>3965</v>
      </c>
    </row>
    <row r="58" customFormat="false" ht="15" hidden="false" customHeight="false" outlineLevel="0" collapsed="false">
      <c r="A58" s="9" t="s">
        <v>3966</v>
      </c>
      <c r="B58" s="9" t="s">
        <v>3967</v>
      </c>
      <c r="C58" s="9" t="s">
        <v>3957</v>
      </c>
      <c r="D58" s="9" t="s">
        <v>3961</v>
      </c>
      <c r="E58" s="9" t="s">
        <v>3968</v>
      </c>
    </row>
    <row r="59" customFormat="false" ht="15" hidden="false" customHeight="false" outlineLevel="0" collapsed="false">
      <c r="A59" s="8" t="s">
        <v>3969</v>
      </c>
      <c r="B59" s="8" t="s">
        <v>3970</v>
      </c>
      <c r="C59" s="8" t="s">
        <v>3957</v>
      </c>
      <c r="D59" s="8" t="s">
        <v>2124</v>
      </c>
      <c r="E59" s="8" t="s">
        <v>3971</v>
      </c>
    </row>
    <row r="60" customFormat="false" ht="15" hidden="false" customHeight="false" outlineLevel="0" collapsed="false">
      <c r="A60" s="9" t="s">
        <v>3972</v>
      </c>
      <c r="B60" s="9" t="s">
        <v>3973</v>
      </c>
      <c r="C60" s="9" t="s">
        <v>3957</v>
      </c>
      <c r="D60" s="9" t="s">
        <v>2124</v>
      </c>
      <c r="E60" s="9" t="s">
        <v>3974</v>
      </c>
    </row>
    <row r="61" customFormat="false" ht="15" hidden="false" customHeight="false" outlineLevel="0" collapsed="false">
      <c r="A61" s="8" t="s">
        <v>3975</v>
      </c>
      <c r="B61" s="8" t="s">
        <v>3976</v>
      </c>
      <c r="C61" s="8" t="s">
        <v>3957</v>
      </c>
      <c r="D61" s="8" t="s">
        <v>3961</v>
      </c>
      <c r="E61" s="8" t="s">
        <v>3977</v>
      </c>
    </row>
    <row r="62" customFormat="false" ht="15" hidden="false" customHeight="false" outlineLevel="0" collapsed="false">
      <c r="A62" s="9" t="s">
        <v>3978</v>
      </c>
      <c r="B62" s="9" t="s">
        <v>3979</v>
      </c>
      <c r="C62" s="9" t="s">
        <v>3957</v>
      </c>
      <c r="D62" s="9" t="s">
        <v>2124</v>
      </c>
      <c r="E62" s="9" t="s">
        <v>3980</v>
      </c>
    </row>
    <row r="63" customFormat="false" ht="15" hidden="false" customHeight="false" outlineLevel="0" collapsed="false">
      <c r="A63" s="8" t="s">
        <v>3981</v>
      </c>
      <c r="B63" s="8" t="s">
        <v>3982</v>
      </c>
      <c r="C63" s="8" t="s">
        <v>3957</v>
      </c>
      <c r="D63" s="8" t="s">
        <v>2124</v>
      </c>
      <c r="E63" s="8" t="s">
        <v>3983</v>
      </c>
    </row>
    <row r="64" customFormat="false" ht="15" hidden="false" customHeight="false" outlineLevel="0" collapsed="false">
      <c r="A64" s="9" t="s">
        <v>3984</v>
      </c>
      <c r="B64" s="9" t="s">
        <v>3985</v>
      </c>
      <c r="C64" s="9" t="s">
        <v>3957</v>
      </c>
      <c r="D64" s="9" t="s">
        <v>3942</v>
      </c>
      <c r="E64" s="9" t="s">
        <v>3986</v>
      </c>
    </row>
    <row r="65" customFormat="false" ht="15" hidden="false" customHeight="false" outlineLevel="0" collapsed="false">
      <c r="A65" s="8" t="s">
        <v>3987</v>
      </c>
      <c r="B65" s="8" t="s">
        <v>3988</v>
      </c>
      <c r="C65" s="8" t="s">
        <v>3957</v>
      </c>
      <c r="D65" s="8" t="s">
        <v>3942</v>
      </c>
      <c r="E65" s="8" t="s">
        <v>3989</v>
      </c>
    </row>
    <row r="66" customFormat="false" ht="15" hidden="false" customHeight="false" outlineLevel="0" collapsed="false">
      <c r="A66" s="9" t="s">
        <v>3990</v>
      </c>
      <c r="B66" s="9" t="s">
        <v>3991</v>
      </c>
      <c r="C66" s="9" t="s">
        <v>3957</v>
      </c>
      <c r="D66" s="9" t="s">
        <v>3942</v>
      </c>
      <c r="E66" s="9" t="s">
        <v>3992</v>
      </c>
    </row>
    <row r="67" customFormat="false" ht="15" hidden="false" customHeight="false" outlineLevel="0" collapsed="false">
      <c r="A67" s="8" t="s">
        <v>3993</v>
      </c>
      <c r="B67" s="8" t="s">
        <v>3994</v>
      </c>
      <c r="C67" s="8" t="s">
        <v>3957</v>
      </c>
      <c r="D67" s="8" t="s">
        <v>3961</v>
      </c>
      <c r="E67" s="8" t="s">
        <v>3995</v>
      </c>
    </row>
    <row r="68" customFormat="false" ht="15" hidden="false" customHeight="false" outlineLevel="0" collapsed="false">
      <c r="A68" s="9" t="s">
        <v>3996</v>
      </c>
      <c r="B68" s="9" t="s">
        <v>3997</v>
      </c>
      <c r="C68" s="9" t="s">
        <v>3957</v>
      </c>
      <c r="D68" s="9" t="s">
        <v>3961</v>
      </c>
      <c r="E68" s="9" t="s">
        <v>3998</v>
      </c>
    </row>
    <row r="69" customFormat="false" ht="15" hidden="false" customHeight="false" outlineLevel="0" collapsed="false">
      <c r="A69" s="8" t="s">
        <v>3999</v>
      </c>
      <c r="B69" s="8" t="s">
        <v>4000</v>
      </c>
      <c r="C69" s="8" t="s">
        <v>3957</v>
      </c>
      <c r="D69" s="8" t="s">
        <v>3961</v>
      </c>
      <c r="E69" s="8" t="s">
        <v>4001</v>
      </c>
    </row>
    <row r="70" customFormat="false" ht="15" hidden="false" customHeight="false" outlineLevel="0" collapsed="false">
      <c r="A70" s="9" t="s">
        <v>4002</v>
      </c>
      <c r="B70" s="9" t="s">
        <v>4003</v>
      </c>
      <c r="C70" s="9" t="s">
        <v>3957</v>
      </c>
      <c r="D70" s="9" t="s">
        <v>2124</v>
      </c>
      <c r="E70" s="9" t="s">
        <v>4004</v>
      </c>
    </row>
    <row r="71" customFormat="false" ht="15" hidden="false" customHeight="false" outlineLevel="0" collapsed="false">
      <c r="A71" s="8" t="s">
        <v>4005</v>
      </c>
      <c r="B71" s="8" t="s">
        <v>4006</v>
      </c>
      <c r="C71" s="8" t="s">
        <v>3957</v>
      </c>
      <c r="D71" s="8" t="s">
        <v>3942</v>
      </c>
      <c r="E71" s="8" t="s">
        <v>4007</v>
      </c>
    </row>
    <row r="72" customFormat="false" ht="15" hidden="false" customHeight="false" outlineLevel="0" collapsed="false">
      <c r="A72" s="9" t="s">
        <v>4008</v>
      </c>
      <c r="B72" s="9" t="s">
        <v>4009</v>
      </c>
      <c r="C72" s="9" t="s">
        <v>4010</v>
      </c>
      <c r="D72" s="9" t="s">
        <v>3942</v>
      </c>
      <c r="E72" s="9" t="s">
        <v>4011</v>
      </c>
    </row>
    <row r="73" customFormat="false" ht="15" hidden="false" customHeight="false" outlineLevel="0" collapsed="false">
      <c r="A73" s="8" t="s">
        <v>4012</v>
      </c>
      <c r="B73" s="8" t="s">
        <v>4013</v>
      </c>
      <c r="C73" s="8" t="s">
        <v>4010</v>
      </c>
      <c r="D73" s="8" t="s">
        <v>3942</v>
      </c>
      <c r="E73" s="8" t="s">
        <v>4014</v>
      </c>
    </row>
    <row r="74" customFormat="false" ht="15" hidden="false" customHeight="false" outlineLevel="0" collapsed="false">
      <c r="A74" s="9" t="s">
        <v>4015</v>
      </c>
      <c r="B74" s="9" t="s">
        <v>4016</v>
      </c>
      <c r="C74" s="9" t="s">
        <v>4010</v>
      </c>
      <c r="D74" s="9" t="s">
        <v>3942</v>
      </c>
      <c r="E74" s="9" t="s">
        <v>4017</v>
      </c>
    </row>
    <row r="75" customFormat="false" ht="15" hidden="false" customHeight="false" outlineLevel="0" collapsed="false">
      <c r="A75" s="8" t="s">
        <v>4018</v>
      </c>
      <c r="B75" s="8" t="s">
        <v>4019</v>
      </c>
      <c r="C75" s="8" t="s">
        <v>4010</v>
      </c>
      <c r="D75" s="8" t="s">
        <v>3942</v>
      </c>
      <c r="E75" s="8" t="s">
        <v>4020</v>
      </c>
    </row>
    <row r="76" customFormat="false" ht="15" hidden="false" customHeight="false" outlineLevel="0" collapsed="false">
      <c r="A76" s="9" t="s">
        <v>4021</v>
      </c>
      <c r="B76" s="9" t="s">
        <v>4022</v>
      </c>
      <c r="C76" s="9" t="s">
        <v>4010</v>
      </c>
      <c r="D76" s="9" t="s">
        <v>3942</v>
      </c>
      <c r="E76" s="9" t="s">
        <v>4023</v>
      </c>
    </row>
    <row r="77" customFormat="false" ht="15" hidden="false" customHeight="false" outlineLevel="0" collapsed="false">
      <c r="A77" s="8" t="s">
        <v>4024</v>
      </c>
      <c r="B77" s="8" t="s">
        <v>4025</v>
      </c>
      <c r="C77" s="8" t="s">
        <v>4010</v>
      </c>
      <c r="D77" s="8" t="s">
        <v>3942</v>
      </c>
      <c r="E77" s="8" t="s">
        <v>4026</v>
      </c>
    </row>
    <row r="78" customFormat="false" ht="15" hidden="false" customHeight="false" outlineLevel="0" collapsed="false">
      <c r="A78" s="9" t="s">
        <v>4027</v>
      </c>
      <c r="B78" s="9" t="s">
        <v>4028</v>
      </c>
      <c r="C78" s="9" t="s">
        <v>4010</v>
      </c>
      <c r="D78" s="9" t="s">
        <v>3942</v>
      </c>
      <c r="E78" s="9" t="s">
        <v>4029</v>
      </c>
    </row>
    <row r="79" customFormat="false" ht="15" hidden="false" customHeight="false" outlineLevel="0" collapsed="false">
      <c r="A79" s="8" t="s">
        <v>4030</v>
      </c>
      <c r="B79" s="8" t="s">
        <v>4031</v>
      </c>
      <c r="C79" s="8" t="s">
        <v>4010</v>
      </c>
      <c r="D79" s="8" t="s">
        <v>3942</v>
      </c>
      <c r="E79" s="8" t="s">
        <v>4032</v>
      </c>
    </row>
    <row r="80" customFormat="false" ht="15" hidden="false" customHeight="false" outlineLevel="0" collapsed="false">
      <c r="A80" s="9" t="s">
        <v>4033</v>
      </c>
      <c r="B80" s="9" t="s">
        <v>4034</v>
      </c>
      <c r="C80" s="9" t="s">
        <v>4010</v>
      </c>
      <c r="D80" s="9" t="s">
        <v>3942</v>
      </c>
      <c r="E80" s="9" t="s">
        <v>4035</v>
      </c>
    </row>
    <row r="81" customFormat="false" ht="15" hidden="false" customHeight="false" outlineLevel="0" collapsed="false">
      <c r="A81" s="8" t="s">
        <v>4036</v>
      </c>
      <c r="B81" s="8" t="s">
        <v>4037</v>
      </c>
      <c r="C81" s="8" t="s">
        <v>4010</v>
      </c>
      <c r="D81" s="8" t="s">
        <v>3942</v>
      </c>
      <c r="E81" s="8" t="s">
        <v>4038</v>
      </c>
    </row>
    <row r="82" customFormat="false" ht="15" hidden="false" customHeight="false" outlineLevel="0" collapsed="false">
      <c r="A82" s="9" t="s">
        <v>4039</v>
      </c>
      <c r="B82" s="9" t="s">
        <v>4040</v>
      </c>
      <c r="C82" s="9" t="s">
        <v>4010</v>
      </c>
      <c r="D82" s="9" t="s">
        <v>3942</v>
      </c>
      <c r="E82" s="9" t="s">
        <v>4041</v>
      </c>
    </row>
    <row r="83" customFormat="false" ht="15" hidden="false" customHeight="false" outlineLevel="0" collapsed="false">
      <c r="A83" s="8" t="s">
        <v>4042</v>
      </c>
      <c r="B83" s="8" t="s">
        <v>4043</v>
      </c>
      <c r="C83" s="8" t="s">
        <v>4010</v>
      </c>
      <c r="D83" s="8" t="s">
        <v>3961</v>
      </c>
      <c r="E83" s="8" t="s">
        <v>4044</v>
      </c>
    </row>
    <row r="84" customFormat="false" ht="15" hidden="false" customHeight="false" outlineLevel="0" collapsed="false">
      <c r="A84" s="9" t="s">
        <v>4045</v>
      </c>
      <c r="B84" s="9" t="s">
        <v>4046</v>
      </c>
      <c r="C84" s="9" t="s">
        <v>4010</v>
      </c>
      <c r="D84" s="9" t="s">
        <v>3961</v>
      </c>
      <c r="E84" s="9" t="s">
        <v>4047</v>
      </c>
    </row>
    <row r="85" customFormat="false" ht="15" hidden="false" customHeight="false" outlineLevel="0" collapsed="false">
      <c r="A85" s="8" t="s">
        <v>4048</v>
      </c>
      <c r="B85" s="8" t="s">
        <v>4049</v>
      </c>
      <c r="C85" s="8" t="s">
        <v>4010</v>
      </c>
      <c r="D85" s="8" t="s">
        <v>3961</v>
      </c>
      <c r="E85" s="8" t="s">
        <v>4050</v>
      </c>
    </row>
    <row r="86" customFormat="false" ht="15" hidden="false" customHeight="false" outlineLevel="0" collapsed="false">
      <c r="A86" s="9" t="s">
        <v>4051</v>
      </c>
      <c r="B86" s="9" t="s">
        <v>4052</v>
      </c>
      <c r="C86" s="9" t="s">
        <v>4010</v>
      </c>
      <c r="D86" s="9" t="s">
        <v>3961</v>
      </c>
      <c r="E86" s="9" t="s">
        <v>4053</v>
      </c>
    </row>
    <row r="88" customFormat="false" ht="15" hidden="false" customHeight="false" outlineLevel="0" collapsed="false">
      <c r="A88" s="5" t="s">
        <v>4054</v>
      </c>
      <c r="B88" s="6"/>
      <c r="C88" s="6"/>
      <c r="D88" s="6"/>
    </row>
    <row r="89" customFormat="false" ht="15" hidden="false" customHeight="false" outlineLevel="0" collapsed="false">
      <c r="A89" s="7" t="s">
        <v>124</v>
      </c>
      <c r="B89" s="7" t="s">
        <v>1961</v>
      </c>
      <c r="C89" s="7" t="s">
        <v>4055</v>
      </c>
      <c r="D89" s="7" t="s">
        <v>2850</v>
      </c>
    </row>
    <row r="90" customFormat="false" ht="15" hidden="false" customHeight="false" outlineLevel="0" collapsed="false">
      <c r="A90" s="8" t="s">
        <v>4056</v>
      </c>
      <c r="B90" s="8" t="s">
        <v>4057</v>
      </c>
      <c r="C90" s="8" t="s">
        <v>4058</v>
      </c>
      <c r="D90" s="8" t="s">
        <v>4059</v>
      </c>
    </row>
    <row r="91" customFormat="false" ht="15" hidden="false" customHeight="false" outlineLevel="0" collapsed="false">
      <c r="A91" s="9" t="s">
        <v>4060</v>
      </c>
      <c r="B91" s="9" t="s">
        <v>4061</v>
      </c>
      <c r="C91" s="9" t="s">
        <v>4062</v>
      </c>
      <c r="D91" s="9" t="s">
        <v>4063</v>
      </c>
    </row>
    <row r="92" customFormat="false" ht="15" hidden="false" customHeight="false" outlineLevel="0" collapsed="false">
      <c r="A92" s="8" t="s">
        <v>4064</v>
      </c>
      <c r="B92" s="8" t="s">
        <v>4065</v>
      </c>
      <c r="C92" s="8" t="s">
        <v>4062</v>
      </c>
      <c r="D92" s="8" t="s">
        <v>4066</v>
      </c>
    </row>
    <row r="93" customFormat="false" ht="15" hidden="false" customHeight="false" outlineLevel="0" collapsed="false">
      <c r="A93" s="9" t="s">
        <v>4067</v>
      </c>
      <c r="B93" s="9" t="s">
        <v>4068</v>
      </c>
      <c r="C93" s="9" t="s">
        <v>4069</v>
      </c>
      <c r="D93" s="9" t="s">
        <v>4070</v>
      </c>
    </row>
    <row r="94" customFormat="false" ht="15" hidden="false" customHeight="false" outlineLevel="0" collapsed="false">
      <c r="A94" s="8" t="s">
        <v>4071</v>
      </c>
      <c r="B94" s="8" t="s">
        <v>4072</v>
      </c>
      <c r="C94" s="8" t="s">
        <v>4073</v>
      </c>
      <c r="D94" s="8" t="s">
        <v>4074</v>
      </c>
    </row>
    <row r="95" customFormat="false" ht="15" hidden="false" customHeight="false" outlineLevel="0" collapsed="false">
      <c r="A95" s="9" t="s">
        <v>4075</v>
      </c>
      <c r="B95" s="9" t="s">
        <v>4076</v>
      </c>
      <c r="C95" s="9" t="s">
        <v>4077</v>
      </c>
      <c r="D95" s="9" t="s">
        <v>4078</v>
      </c>
    </row>
    <row r="96" customFormat="false" ht="23.85" hidden="false" customHeight="false" outlineLevel="0" collapsed="false">
      <c r="A96" s="8" t="s">
        <v>4079</v>
      </c>
      <c r="B96" s="8" t="s">
        <v>4080</v>
      </c>
      <c r="C96" s="8" t="s">
        <v>4081</v>
      </c>
      <c r="D96" s="8" t="s">
        <v>4082</v>
      </c>
    </row>
    <row r="98" customFormat="false" ht="15" hidden="false" customHeight="false" outlineLevel="0" collapsed="false">
      <c r="A98" s="5" t="s">
        <v>4083</v>
      </c>
      <c r="B98" s="6"/>
      <c r="C98" s="6"/>
      <c r="D98" s="6"/>
    </row>
    <row r="99" customFormat="false" ht="42" hidden="false" customHeight="true" outlineLevel="0" collapsed="false">
      <c r="A99" s="3" t="s">
        <v>4084</v>
      </c>
      <c r="B99" s="63" t="s">
        <v>4085</v>
      </c>
      <c r="C99" s="63"/>
      <c r="D99" s="63"/>
    </row>
    <row r="100" customFormat="false" ht="42" hidden="false" customHeight="true" outlineLevel="0" collapsed="false">
      <c r="A100" s="3" t="s">
        <v>4086</v>
      </c>
      <c r="B100" s="63" t="s">
        <v>4087</v>
      </c>
      <c r="C100" s="63"/>
      <c r="D100" s="63"/>
    </row>
    <row r="101" customFormat="false" ht="42" hidden="false" customHeight="true" outlineLevel="0" collapsed="false">
      <c r="A101" s="3" t="s">
        <v>4088</v>
      </c>
      <c r="B101" s="63" t="s">
        <v>4089</v>
      </c>
      <c r="C101" s="63"/>
      <c r="D101" s="63"/>
    </row>
    <row r="103" customFormat="false" ht="15" hidden="false" customHeight="false" outlineLevel="0" collapsed="false">
      <c r="A103" s="5" t="s">
        <v>4090</v>
      </c>
      <c r="B103" s="6"/>
      <c r="C103" s="6"/>
      <c r="D103" s="6"/>
    </row>
    <row r="104" customFormat="false" ht="15" hidden="false" customHeight="false" outlineLevel="0" collapsed="false">
      <c r="A104" s="7" t="s">
        <v>124</v>
      </c>
      <c r="B104" s="7" t="s">
        <v>1962</v>
      </c>
      <c r="C104" s="7" t="s">
        <v>3132</v>
      </c>
    </row>
    <row r="105" customFormat="false" ht="23.85" hidden="false" customHeight="false" outlineLevel="0" collapsed="false">
      <c r="A105" s="8" t="s">
        <v>4091</v>
      </c>
      <c r="B105" s="8" t="s">
        <v>4092</v>
      </c>
      <c r="C105" s="8" t="s">
        <v>4093</v>
      </c>
    </row>
    <row r="106" customFormat="false" ht="35.05" hidden="false" customHeight="false" outlineLevel="0" collapsed="false">
      <c r="A106" s="9" t="s">
        <v>4094</v>
      </c>
      <c r="B106" s="9" t="s">
        <v>4095</v>
      </c>
      <c r="C106" s="9" t="s">
        <v>4096</v>
      </c>
    </row>
    <row r="107" customFormat="false" ht="35.05" hidden="false" customHeight="false" outlineLevel="0" collapsed="false">
      <c r="A107" s="8" t="s">
        <v>4097</v>
      </c>
      <c r="B107" s="8" t="s">
        <v>3790</v>
      </c>
      <c r="C107" s="8" t="s">
        <v>4098</v>
      </c>
    </row>
    <row r="108" customFormat="false" ht="46.25" hidden="false" customHeight="false" outlineLevel="0" collapsed="false">
      <c r="A108" s="9" t="s">
        <v>4099</v>
      </c>
      <c r="B108" s="9" t="s">
        <v>4100</v>
      </c>
      <c r="C108" s="9" t="s">
        <v>4101</v>
      </c>
    </row>
    <row r="109" customFormat="false" ht="23.85" hidden="false" customHeight="false" outlineLevel="0" collapsed="false">
      <c r="A109" s="8" t="s">
        <v>4102</v>
      </c>
      <c r="B109" s="8" t="s">
        <v>4103</v>
      </c>
      <c r="C109" s="8" t="s">
        <v>4104</v>
      </c>
    </row>
    <row r="110" customFormat="false" ht="35.05" hidden="false" customHeight="false" outlineLevel="0" collapsed="false">
      <c r="A110" s="9" t="s">
        <v>4105</v>
      </c>
      <c r="B110" s="9" t="s">
        <v>4106</v>
      </c>
      <c r="C110" s="9" t="s">
        <v>4107</v>
      </c>
    </row>
    <row r="111" customFormat="false" ht="35.05" hidden="false" customHeight="false" outlineLevel="0" collapsed="false">
      <c r="A111" s="8" t="s">
        <v>4108</v>
      </c>
      <c r="B111" s="8" t="s">
        <v>4109</v>
      </c>
      <c r="C111" s="8" t="s">
        <v>4110</v>
      </c>
    </row>
    <row r="112" customFormat="false" ht="23.85" hidden="false" customHeight="false" outlineLevel="0" collapsed="false">
      <c r="A112" s="9" t="s">
        <v>4111</v>
      </c>
      <c r="B112" s="9" t="s">
        <v>147</v>
      </c>
      <c r="C112" s="9" t="s">
        <v>4112</v>
      </c>
    </row>
    <row r="113" customFormat="false" ht="23.85" hidden="false" customHeight="false" outlineLevel="0" collapsed="false">
      <c r="A113" s="8" t="s">
        <v>4113</v>
      </c>
      <c r="B113" s="8" t="s">
        <v>4114</v>
      </c>
      <c r="C113" s="8" t="s">
        <v>4115</v>
      </c>
    </row>
    <row r="114" customFormat="false" ht="35.05" hidden="false" customHeight="false" outlineLevel="0" collapsed="false">
      <c r="A114" s="9" t="s">
        <v>4116</v>
      </c>
      <c r="B114" s="9" t="s">
        <v>4117</v>
      </c>
      <c r="C114" s="9" t="s">
        <v>4118</v>
      </c>
    </row>
    <row r="116" customFormat="false" ht="15" hidden="false" customHeight="false" outlineLevel="0" collapsed="false">
      <c r="A116" s="5" t="s">
        <v>4119</v>
      </c>
      <c r="B116" s="6"/>
      <c r="C116" s="6"/>
      <c r="D116" s="6"/>
    </row>
    <row r="117" customFormat="false" ht="15" hidden="false" customHeight="false" outlineLevel="0" collapsed="false">
      <c r="A117" s="7" t="s">
        <v>124</v>
      </c>
      <c r="B117" s="7" t="s">
        <v>2530</v>
      </c>
      <c r="C117" s="7" t="s">
        <v>4120</v>
      </c>
      <c r="D117" s="7" t="s">
        <v>4121</v>
      </c>
    </row>
    <row r="118" customFormat="false" ht="15" hidden="false" customHeight="false" outlineLevel="0" collapsed="false">
      <c r="A118" s="8" t="s">
        <v>4122</v>
      </c>
      <c r="B118" s="8" t="s">
        <v>4123</v>
      </c>
      <c r="C118" s="8" t="s">
        <v>4124</v>
      </c>
      <c r="D118" s="8" t="s">
        <v>4125</v>
      </c>
    </row>
    <row r="119" customFormat="false" ht="15" hidden="false" customHeight="false" outlineLevel="0" collapsed="false">
      <c r="A119" s="9" t="s">
        <v>4126</v>
      </c>
      <c r="B119" s="9" t="s">
        <v>4127</v>
      </c>
      <c r="C119" s="9" t="s">
        <v>4128</v>
      </c>
      <c r="D119" s="9" t="s">
        <v>4125</v>
      </c>
    </row>
    <row r="120" customFormat="false" ht="15" hidden="false" customHeight="false" outlineLevel="0" collapsed="false">
      <c r="A120" s="8" t="s">
        <v>4129</v>
      </c>
      <c r="B120" s="8" t="s">
        <v>4130</v>
      </c>
      <c r="C120" s="8" t="s">
        <v>4131</v>
      </c>
      <c r="D120" s="8" t="s">
        <v>4132</v>
      </c>
    </row>
    <row r="121" customFormat="false" ht="15" hidden="false" customHeight="false" outlineLevel="0" collapsed="false">
      <c r="A121" s="9" t="s">
        <v>4133</v>
      </c>
      <c r="B121" s="9" t="s">
        <v>4134</v>
      </c>
      <c r="C121" s="9" t="s">
        <v>4135</v>
      </c>
      <c r="D121" s="9" t="s">
        <v>1373</v>
      </c>
    </row>
    <row r="122" customFormat="false" ht="15" hidden="false" customHeight="false" outlineLevel="0" collapsed="false">
      <c r="A122" s="8" t="s">
        <v>4136</v>
      </c>
      <c r="B122" s="8" t="s">
        <v>4137</v>
      </c>
      <c r="C122" s="8" t="s">
        <v>4138</v>
      </c>
      <c r="D122" s="8" t="s">
        <v>1373</v>
      </c>
    </row>
    <row r="123" customFormat="false" ht="15" hidden="false" customHeight="false" outlineLevel="0" collapsed="false">
      <c r="A123" s="9" t="s">
        <v>4139</v>
      </c>
      <c r="B123" s="9" t="s">
        <v>4140</v>
      </c>
      <c r="C123" s="9" t="s">
        <v>4141</v>
      </c>
      <c r="D123" s="9" t="s">
        <v>4142</v>
      </c>
    </row>
    <row r="124" customFormat="false" ht="15" hidden="false" customHeight="false" outlineLevel="0" collapsed="false">
      <c r="A124" s="8" t="s">
        <v>4143</v>
      </c>
      <c r="B124" s="8" t="s">
        <v>4144</v>
      </c>
      <c r="C124" s="8" t="s">
        <v>4145</v>
      </c>
      <c r="D124" s="8" t="s">
        <v>4146</v>
      </c>
    </row>
    <row r="125" customFormat="false" ht="15" hidden="false" customHeight="false" outlineLevel="0" collapsed="false">
      <c r="A125" s="9" t="s">
        <v>4147</v>
      </c>
      <c r="B125" s="9" t="s">
        <v>2076</v>
      </c>
      <c r="C125" s="9" t="s">
        <v>4148</v>
      </c>
      <c r="D125" s="9" t="s">
        <v>4149</v>
      </c>
    </row>
    <row r="127" customFormat="false" ht="15" hidden="false" customHeight="false" outlineLevel="0" collapsed="false">
      <c r="A127" s="5" t="s">
        <v>4150</v>
      </c>
      <c r="B127" s="6"/>
      <c r="C127" s="6"/>
      <c r="D127" s="6"/>
    </row>
    <row r="128" customFormat="false" ht="15" hidden="false" customHeight="false" outlineLevel="0" collapsed="false">
      <c r="A128" s="7" t="s">
        <v>124</v>
      </c>
      <c r="B128" s="7" t="s">
        <v>2572</v>
      </c>
      <c r="C128" s="7" t="s">
        <v>1962</v>
      </c>
    </row>
    <row r="129" customFormat="false" ht="23.85" hidden="false" customHeight="false" outlineLevel="0" collapsed="false">
      <c r="A129" s="8" t="s">
        <v>4151</v>
      </c>
      <c r="B129" s="8" t="s">
        <v>4152</v>
      </c>
      <c r="C129" s="8" t="s">
        <v>4153</v>
      </c>
    </row>
    <row r="130" customFormat="false" ht="23.85" hidden="false" customHeight="false" outlineLevel="0" collapsed="false">
      <c r="A130" s="9" t="s">
        <v>4154</v>
      </c>
      <c r="B130" s="9" t="s">
        <v>4155</v>
      </c>
      <c r="C130" s="9" t="s">
        <v>4156</v>
      </c>
    </row>
    <row r="131" customFormat="false" ht="23.85" hidden="false" customHeight="false" outlineLevel="0" collapsed="false">
      <c r="A131" s="8" t="s">
        <v>4157</v>
      </c>
      <c r="B131" s="8" t="s">
        <v>4158</v>
      </c>
      <c r="C131" s="8" t="s">
        <v>4159</v>
      </c>
    </row>
    <row r="132" customFormat="false" ht="23.85" hidden="false" customHeight="false" outlineLevel="0" collapsed="false">
      <c r="A132" s="9" t="s">
        <v>4160</v>
      </c>
      <c r="B132" s="9" t="s">
        <v>4161</v>
      </c>
      <c r="C132" s="9" t="s">
        <v>4162</v>
      </c>
    </row>
    <row r="133" customFormat="false" ht="23.85" hidden="false" customHeight="false" outlineLevel="0" collapsed="false">
      <c r="A133" s="8" t="s">
        <v>4163</v>
      </c>
      <c r="B133" s="8" t="s">
        <v>3858</v>
      </c>
      <c r="C133" s="8" t="s">
        <v>4164</v>
      </c>
    </row>
    <row r="134" customFormat="false" ht="23.85" hidden="false" customHeight="false" outlineLevel="0" collapsed="false">
      <c r="A134" s="9" t="s">
        <v>4165</v>
      </c>
      <c r="B134" s="9" t="s">
        <v>2102</v>
      </c>
      <c r="C134" s="9" t="s">
        <v>4166</v>
      </c>
    </row>
    <row r="135" customFormat="false" ht="23.85" hidden="false" customHeight="false" outlineLevel="0" collapsed="false">
      <c r="A135" s="8" t="s">
        <v>4167</v>
      </c>
      <c r="B135" s="8" t="s">
        <v>4168</v>
      </c>
      <c r="C135" s="8" t="s">
        <v>4169</v>
      </c>
    </row>
    <row r="136" customFormat="false" ht="23.85" hidden="false" customHeight="false" outlineLevel="0" collapsed="false">
      <c r="A136" s="9" t="s">
        <v>4170</v>
      </c>
      <c r="B136" s="9" t="s">
        <v>918</v>
      </c>
      <c r="C136" s="9" t="s">
        <v>4171</v>
      </c>
    </row>
    <row r="137" customFormat="false" ht="23.85" hidden="false" customHeight="false" outlineLevel="0" collapsed="false">
      <c r="A137" s="8" t="s">
        <v>4172</v>
      </c>
      <c r="B137" s="8" t="s">
        <v>4173</v>
      </c>
      <c r="C137" s="8" t="s">
        <v>4174</v>
      </c>
    </row>
  </sheetData>
  <mergeCells count="3">
    <mergeCell ref="B99:D99"/>
    <mergeCell ref="B100:D100"/>
    <mergeCell ref="B101:D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2026-09-22T08:47:09Z</dcterms:created>
  <dc:creator>openpyxl</dc:creator>
  <dc:description/>
  <dc:language>en-US</dc:language>
  <cp:lastModifiedBy/>
  <dcterms:modified xsi:type="dcterms:W3CDTF">2026-09-22T08:47:09Z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